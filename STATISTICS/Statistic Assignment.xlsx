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ps\Statstics\"/>
    </mc:Choice>
  </mc:AlternateContent>
  <xr:revisionPtr revIDLastSave="0" documentId="13_ncr:1_{F6C707F4-104C-4D26-8FF4-3C3895D246EF}" xr6:coauthVersionLast="47" xr6:coauthVersionMax="47" xr10:uidLastSave="{00000000-0000-0000-0000-000000000000}"/>
  <bookViews>
    <workbookView xWindow="-108" yWindow="-108" windowWidth="23256" windowHeight="12456" firstSheet="6" activeTab="8" xr2:uid="{F4237801-EB72-4682-9428-8C3E86F08133}"/>
  </bookViews>
  <sheets>
    <sheet name=" Measure of Central Tendency" sheetId="1" r:id="rId1"/>
    <sheet name=" Measure of Skewness and Kurtos" sheetId="2" r:id="rId2"/>
    <sheet name="Percentile and Quartiles" sheetId="3" r:id="rId3"/>
    <sheet name=" Correlation and Covariance" sheetId="4" r:id="rId4"/>
    <sheet name=" discrete and continuous random" sheetId="5" r:id="rId5"/>
    <sheet name="Continuous Random Variable" sheetId="6" r:id="rId6"/>
    <sheet name="Discrete Distribution " sheetId="7" r:id="rId7"/>
    <sheet name="Continuous Distribution  " sheetId="8" r:id="rId8"/>
    <sheet name="Confidence Interval Problems" sheetId="9" r:id="rId9"/>
  </sheets>
  <definedNames>
    <definedName name="_xlchart.v1.0" hidden="1">' Measure of Central Tendency'!$A$543</definedName>
    <definedName name="_xlchart.v1.1" hidden="1">' Measure of Central Tendency'!$A$544</definedName>
    <definedName name="_xlchart.v1.10" hidden="1">' Measure of Central Tendency'!$A$352:$J$352</definedName>
    <definedName name="_xlchart.v1.11" hidden="1">' Measure of Central Tendency'!$A$353:$J$353</definedName>
    <definedName name="_xlchart.v1.12" hidden="1">' Measure of Central Tendency'!$A$354:$J$354</definedName>
    <definedName name="_xlchart.v1.13" hidden="1">' Measure of Central Tendency'!$A$355:$J$355</definedName>
    <definedName name="_xlchart.v1.14" hidden="1">' Measure of Central Tendency'!$A$356:$J$356</definedName>
    <definedName name="_xlchart.v1.2" hidden="1">' Measure of Central Tendency'!$B$543:$Y$543</definedName>
    <definedName name="_xlchart.v1.3" hidden="1">' Measure of Central Tendency'!$B$544:$Y$544</definedName>
    <definedName name="_xlchart.v1.4" hidden="1">' Measure of Central Tendency'!$A$427:$A$476</definedName>
    <definedName name="_xlchart.v1.5" hidden="1">' Measure of Central Tendency'!$A$347:$J$347</definedName>
    <definedName name="_xlchart.v1.6" hidden="1">' Measure of Central Tendency'!$A$348:$J$348</definedName>
    <definedName name="_xlchart.v1.7" hidden="1">' Measure of Central Tendency'!$A$349:$J$349</definedName>
    <definedName name="_xlchart.v1.8" hidden="1">' Measure of Central Tendency'!$A$350:$J$350</definedName>
    <definedName name="_xlchart.v1.9" hidden="1">' Measure of Central Tendency'!$A$351:$J$351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9" l="1"/>
  <c r="B22" i="9"/>
  <c r="C25" i="9" s="1"/>
  <c r="C12" i="9"/>
  <c r="C11" i="9"/>
  <c r="B19" i="8" l="1"/>
  <c r="B16" i="8"/>
  <c r="B10" i="8"/>
  <c r="B26" i="7"/>
  <c r="B24" i="7"/>
  <c r="B17" i="7"/>
  <c r="B8" i="7"/>
  <c r="D14" i="6"/>
  <c r="B41" i="6"/>
  <c r="D38" i="6"/>
  <c r="B33" i="6"/>
  <c r="B26" i="6"/>
  <c r="B17" i="6"/>
  <c r="B9" i="6"/>
  <c r="B57" i="5"/>
  <c r="B47" i="5"/>
  <c r="B35" i="5"/>
  <c r="B31" i="5"/>
  <c r="B23" i="5"/>
  <c r="B11" i="5"/>
  <c r="B8" i="5"/>
  <c r="D45" i="4"/>
  <c r="C44" i="4"/>
  <c r="C137" i="3" l="1"/>
  <c r="C136" i="3"/>
  <c r="C135" i="3"/>
  <c r="C131" i="3"/>
  <c r="C130" i="3"/>
  <c r="C129" i="3"/>
  <c r="C108" i="3"/>
  <c r="C107" i="3"/>
  <c r="C106" i="3"/>
  <c r="C102" i="3"/>
  <c r="C101" i="3"/>
  <c r="C100" i="3"/>
  <c r="C79" i="3"/>
  <c r="C78" i="3"/>
  <c r="C77" i="3"/>
  <c r="C73" i="3"/>
  <c r="C72" i="3"/>
  <c r="C71" i="3"/>
  <c r="C49" i="3"/>
  <c r="C48" i="3"/>
  <c r="C47" i="3"/>
  <c r="C41" i="3"/>
  <c r="C42" i="3"/>
  <c r="C43" i="3"/>
  <c r="C21" i="3"/>
  <c r="C20" i="3"/>
  <c r="C19" i="3"/>
  <c r="C18" i="3"/>
  <c r="C14" i="3"/>
  <c r="C13" i="3"/>
  <c r="C12" i="3"/>
  <c r="B167" i="2"/>
  <c r="B163" i="2"/>
  <c r="B144" i="2"/>
  <c r="B140" i="2"/>
  <c r="B123" i="2"/>
  <c r="B17" i="2"/>
  <c r="B119" i="2"/>
  <c r="B69" i="2"/>
  <c r="B65" i="2"/>
  <c r="B12" i="2"/>
  <c r="D630" i="1"/>
  <c r="D631" i="1"/>
  <c r="D629" i="1"/>
  <c r="D623" i="1"/>
  <c r="D624" i="1"/>
  <c r="D622" i="1"/>
  <c r="B568" i="1" l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B544" i="1"/>
  <c r="C501" i="1"/>
  <c r="C361" i="1"/>
  <c r="D361" i="1"/>
  <c r="E361" i="1"/>
  <c r="F361" i="1"/>
  <c r="G361" i="1"/>
  <c r="B387" i="1"/>
  <c r="C318" i="1"/>
  <c r="B284" i="1"/>
  <c r="B280" i="1"/>
  <c r="B276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45" i="1"/>
  <c r="C226" i="1"/>
  <c r="B222" i="1"/>
  <c r="B218" i="1"/>
  <c r="N214" i="1"/>
  <c r="O214" i="1"/>
  <c r="P214" i="1"/>
  <c r="Q214" i="1"/>
  <c r="R214" i="1"/>
  <c r="S214" i="1"/>
  <c r="T214" i="1"/>
  <c r="C214" i="1"/>
  <c r="D214" i="1"/>
  <c r="E214" i="1"/>
  <c r="F214" i="1"/>
  <c r="G214" i="1"/>
  <c r="H214" i="1"/>
  <c r="I214" i="1"/>
  <c r="J214" i="1"/>
  <c r="K214" i="1"/>
  <c r="L214" i="1"/>
  <c r="M214" i="1"/>
  <c r="B214" i="1"/>
  <c r="C187" i="1"/>
  <c r="C188" i="1"/>
  <c r="C189" i="1"/>
  <c r="C190" i="1"/>
  <c r="C186" i="1"/>
  <c r="D179" i="1"/>
  <c r="D180" i="1"/>
  <c r="D181" i="1"/>
  <c r="D182" i="1"/>
  <c r="D178" i="1"/>
  <c r="C171" i="1"/>
  <c r="C172" i="1"/>
  <c r="C173" i="1"/>
  <c r="C174" i="1"/>
  <c r="C170" i="1"/>
  <c r="B152" i="1"/>
  <c r="C148" i="1"/>
  <c r="B144" i="1"/>
  <c r="B119" i="1"/>
  <c r="B115" i="1"/>
  <c r="C97" i="1"/>
  <c r="B93" i="1"/>
  <c r="C79" i="1"/>
  <c r="B75" i="1"/>
  <c r="B71" i="1"/>
  <c r="C53" i="1"/>
  <c r="B49" i="1"/>
  <c r="B45" i="1"/>
  <c r="B19" i="1"/>
  <c r="B15" i="1"/>
</calcChain>
</file>

<file path=xl/sharedStrings.xml><?xml version="1.0" encoding="utf-8"?>
<sst xmlns="http://schemas.openxmlformats.org/spreadsheetml/2006/main" count="605" uniqueCount="387">
  <si>
    <t>Q - 1) Business Problem: A retail store wants to analyze the sales data of a particular product category to understand the typical sales performance and make strategic decisions.</t>
  </si>
  <si>
    <t>Data:</t>
  </si>
  <si>
    <t>Let's consider the weekly sales data (in units) for the past month for a specific product category:</t>
  </si>
  <si>
    <t xml:space="preserve">Week 1: </t>
  </si>
  <si>
    <t>units</t>
  </si>
  <si>
    <t xml:space="preserve">Week 2: </t>
  </si>
  <si>
    <t xml:space="preserve">Week 3: </t>
  </si>
  <si>
    <t xml:space="preserve">Week 4: </t>
  </si>
  <si>
    <t>1. Mean: What is the average weekly sales of the product category?</t>
  </si>
  <si>
    <t>Mean</t>
  </si>
  <si>
    <t xml:space="preserve">2. Median: What is the typical or central sales value for the product category?  </t>
  </si>
  <si>
    <t>Median</t>
  </si>
  <si>
    <t>3. Mode: Are there any recurring or most frequently occurring sales figures for the product category?</t>
  </si>
  <si>
    <t>Mode</t>
  </si>
  <si>
    <t>NO</t>
  </si>
  <si>
    <t>Q - 2) Business Problem: A restaurant wants to analyze the waiting times of its customers to understand the typical waiting experience and improve service efficiency.</t>
  </si>
  <si>
    <t>Let's consider the waiting times (in minutes) for the past 20 customers:</t>
  </si>
  <si>
    <t>Question:</t>
  </si>
  <si>
    <t>1. Mean: What is the average waiting time for customers at the restaurant?</t>
  </si>
  <si>
    <t>Minutes</t>
  </si>
  <si>
    <t>2. Median: What is the typical or central waiting time experienced by customers?</t>
  </si>
  <si>
    <t>Median:</t>
  </si>
  <si>
    <t>Mode: Are there any recurring or most frequently occurring waiting times for customers?</t>
  </si>
  <si>
    <t>Mode:</t>
  </si>
  <si>
    <t>Yes</t>
  </si>
  <si>
    <t>3) Business Problem: A car rental company wants to analyze the rental durations of its customers to understand the typical rental period and optimize its pricing and fleet management strategies.</t>
  </si>
  <si>
    <t>Let's consider the rental durations (in days) for a sample of 50 customers:</t>
  </si>
  <si>
    <t>1.Mean: What is the average rental duration for customers at the car rental company?</t>
  </si>
  <si>
    <t>Mean:</t>
  </si>
  <si>
    <t>Days</t>
  </si>
  <si>
    <t>2. Median: What is the typical or central rental duration experienced by customers?</t>
  </si>
  <si>
    <t>3. Mode: Are there any recurring or most frequently occurring rental durations for customers?</t>
  </si>
  <si>
    <t>Q - 4) Problem : A company wants to analyze the monthly revenue generated by one of its products to understand its performance and variability.</t>
  </si>
  <si>
    <t>Let's consider the monthly revenue (in thousands of dollars) for the past 12 months:</t>
  </si>
  <si>
    <t>Questions:</t>
  </si>
  <si>
    <t>1. Measure of Central Tendency: What is the average monthly revenue for the product?</t>
  </si>
  <si>
    <t>2. Measure of Dispersion: What is the range of monthly revenue for the product?</t>
  </si>
  <si>
    <t xml:space="preserve">Range of monthly </t>
  </si>
  <si>
    <t>Q - 5) Problem : A survey was conducted to gather feedback from customers regarding their satisfaction with a particular service on a scale of 1 to 10.</t>
  </si>
  <si>
    <t>Let's consider the satisfaction ratings from 50 customers:</t>
  </si>
  <si>
    <t>1. Measure of Central Tendency: What is the average satisfaction rating?</t>
  </si>
  <si>
    <t>2. Measure of Dispersion: What is the standard deviation of the satisfaction ratings?</t>
  </si>
  <si>
    <t>Std_Dev:</t>
  </si>
  <si>
    <t>Q - 6) Problem :A company wants to analyze the customer wait times at its call center to assess the efficiency of its customer service operations.</t>
  </si>
  <si>
    <t>customer calls:</t>
  </si>
  <si>
    <t>1. Measure of Central Tendency: What is the average wait time for customers at the call center?</t>
  </si>
  <si>
    <t>2. Measure of Dispersion: What is the range of wait times for customers at the call center?</t>
  </si>
  <si>
    <t>Range of wait times</t>
  </si>
  <si>
    <t>3. Measure of Dispersion: What is the standard deviation of the wait times for customers at the call center?</t>
  </si>
  <si>
    <t>Q - 7) Problem : A transportation company wants to analyze the fuel efficiency of its vehicle fleet to identify any variations across different vehicle models.</t>
  </si>
  <si>
    <t>Let's consider the fuel efficiency (in miles per gallon, mpg) for a sample of 50 vehicles:</t>
  </si>
  <si>
    <t>Let's consider the wait times (in minutes) for a sample of 100 randomly saelected</t>
  </si>
  <si>
    <t xml:space="preserve">Model A: </t>
  </si>
  <si>
    <t>Model B:</t>
  </si>
  <si>
    <t>Model C:</t>
  </si>
  <si>
    <t>Model D:</t>
  </si>
  <si>
    <t>Model E:</t>
  </si>
  <si>
    <t>1. Measure of Central Tendency: What is the average fuel efficiency for each vehicle model?</t>
  </si>
  <si>
    <t>2. Measure of Dispersion: What is the range of fuel efficiency for each vehicle model?</t>
  </si>
  <si>
    <t>Range of fuel</t>
  </si>
  <si>
    <t>3. Measure of Dispersion: What is the variance of the fuel efficiency for each vehicle model?</t>
  </si>
  <si>
    <t>variance</t>
  </si>
  <si>
    <t>Q - 8) Problem : A company wants to analyze the ages of its employees to understand the age distribution and demographics within the organization.</t>
  </si>
  <si>
    <t>Let's consider the ages of 100 employees:</t>
  </si>
  <si>
    <t>1. Frequency Distribution: Create a frequency distribution table for the ages of the employees.</t>
  </si>
  <si>
    <t>Frequecy</t>
  </si>
  <si>
    <t>2. Mode: What is the mode (most common age) among the employees?</t>
  </si>
  <si>
    <t>Values</t>
  </si>
  <si>
    <t>3. Median: What is the median age of the employees?</t>
  </si>
  <si>
    <t>4. Range: What is the range of ages among the employees?</t>
  </si>
  <si>
    <t>Q - 9) Problem :A retail store wants to analyze the purchase amounts made by customers to understand their spending habits.</t>
  </si>
  <si>
    <t>Let's consider the purchase amounts (in dollars) for a sample of 50 customers:</t>
  </si>
  <si>
    <t>1. Frequency Distribution: Create a frequency distribution table for the purchase amounts.</t>
  </si>
  <si>
    <t>2. Mode: What is the mode (most common purchase amount) among the customers?</t>
  </si>
  <si>
    <t>3. Median: What is the median purchase amount among the customers?</t>
  </si>
  <si>
    <t>4. Interquartile Range: What is the interquartile range of the purchase amounts?</t>
  </si>
  <si>
    <t>IQR :</t>
  </si>
  <si>
    <t>Q - 10) Problem : A manufacturing company wants to analyze the defect rates of its production line to identify the frequency of different types of defects.</t>
  </si>
  <si>
    <t>Let's consider the types of defects and their corresponding frequencies observed in a sample of 200 products:</t>
  </si>
  <si>
    <t xml:space="preserve"> B</t>
  </si>
  <si>
    <t xml:space="preserve"> C</t>
  </si>
  <si>
    <t xml:space="preserve"> D</t>
  </si>
  <si>
    <t xml:space="preserve"> E</t>
  </si>
  <si>
    <t xml:space="preserve"> F</t>
  </si>
  <si>
    <t xml:space="preserve"> G</t>
  </si>
  <si>
    <t>Defect Type:</t>
  </si>
  <si>
    <t>A</t>
  </si>
  <si>
    <t>Frequency:</t>
  </si>
  <si>
    <t>1. Bar Chart: Create a bar chart to visualize the frequency of different defect types.</t>
  </si>
  <si>
    <t>2. Most Common Defect: Which defect type has the highest frequency?</t>
  </si>
  <si>
    <t>The defect type with the highest frequency is E.</t>
  </si>
  <si>
    <t xml:space="preserve"> Highest frequency :</t>
  </si>
  <si>
    <t>3. Histogram: Create a histogram to represent the defect frequencies.</t>
  </si>
  <si>
    <t>Q - 11) Problem : A survey was conducted to gather feedback from customers about their satisfaction levels with a specific service on a scale of 1 to 5.</t>
  </si>
  <si>
    <t>Let's consider the satisfaction ratings from 100 customers:</t>
  </si>
  <si>
    <t>Ratings:</t>
  </si>
  <si>
    <t>1. Histogram: Create a histogram to visualize the distribution of satisfaction ratings.</t>
  </si>
  <si>
    <t>2. Mode: Which satisfaction rating has the highest frequency?</t>
  </si>
  <si>
    <t>3. Bar Chart: Create a bar chart to display the frequency of each satisfaction rating.</t>
  </si>
  <si>
    <t>Frequency</t>
  </si>
  <si>
    <t>Ratings</t>
  </si>
  <si>
    <t>Q - 12) Problem : A company wants to analyze the monthly sales figures of its products to understand the sales distribution across different price ranges.</t>
  </si>
  <si>
    <t>Sales:</t>
  </si>
  <si>
    <t>Questions :</t>
  </si>
  <si>
    <t>1. Histogram: Create a histogram to visualize the sales distribution across different price ranges.</t>
  </si>
  <si>
    <t>Let's consider the monthly sales figures (in thousands of dollars) for a sample of 50 products:</t>
  </si>
  <si>
    <t xml:space="preserve">2. Measure of Central Tendency: What is the average monthly sales figure? </t>
  </si>
  <si>
    <t>Moc:</t>
  </si>
  <si>
    <t>3. Bar Chart: Create a bar chart to display the frequency of sales in different price ranges.</t>
  </si>
  <si>
    <t>50 Products</t>
  </si>
  <si>
    <t>Q - 13) Problem : A study was conducted to analyze the response times of a website for different user locations.</t>
  </si>
  <si>
    <t>Let's consider the response times (in milliseconds) for a sample of 200 user requests:</t>
  </si>
  <si>
    <t>Response Times:</t>
  </si>
  <si>
    <t>1. Histogram: Create a histogram to visualize the distribution of response times.</t>
  </si>
  <si>
    <t>Time</t>
  </si>
  <si>
    <t>Frequncy</t>
  </si>
  <si>
    <t>2. Measure of Central Tendency: What is the median response time?</t>
  </si>
  <si>
    <t>MOC:</t>
  </si>
  <si>
    <t>3. Bar Chart: Create a bar chart to display the frequency of response times within different ranges.</t>
  </si>
  <si>
    <t>Q - 14) Problem : A company wants to analyze the sales performance of its products across different regions.</t>
  </si>
  <si>
    <t xml:space="preserve">Let's consider the sales figures (in thousands of dollars) for a sample of 50 products in three regions: </t>
  </si>
  <si>
    <t>Region 1:</t>
  </si>
  <si>
    <t>Region 2:</t>
  </si>
  <si>
    <t>Region 3:</t>
  </si>
  <si>
    <t>1. Bar Chart: Create a bar chart to compare the sales figures across the three regions.</t>
  </si>
  <si>
    <t>2. Measure of Central Tendency: What is the average sales figure for each region?</t>
  </si>
  <si>
    <t>3. Measure of Dispersion : What is the range of sales figures in each region?</t>
  </si>
  <si>
    <t>Range of Sales</t>
  </si>
  <si>
    <t>Question - 1 : A company wants to analyze the monthly returns of its investment portfolio to understand the distribution and risk associated with the returns.</t>
  </si>
  <si>
    <t xml:space="preserve"> </t>
  </si>
  <si>
    <t>Data</t>
  </si>
  <si>
    <t>Data :</t>
  </si>
  <si>
    <t>Let's consider the monthly returns (%) for the portfolio over a one-year period:</t>
  </si>
  <si>
    <t>Returns:</t>
  </si>
  <si>
    <t>1. Skewness: Calculate the skewness of the monthly returns.</t>
  </si>
  <si>
    <t>2. Kurtosis: Calculate the kurtosis of the monthly returns.</t>
  </si>
  <si>
    <t xml:space="preserve">  </t>
  </si>
  <si>
    <t xml:space="preserve"> Skewness</t>
  </si>
  <si>
    <t>Kurtosis</t>
  </si>
  <si>
    <t>3. Interpretation: Based on the skewness and kurtosis values, what can be said about the distribution of returns?</t>
  </si>
  <si>
    <t>Ans :</t>
  </si>
  <si>
    <t>The skewness value is close to zero, indicating that the distribution of monthly returns is approximately symmetric.</t>
  </si>
  <si>
    <t>The negative kurtosis suggests that the distribution is platykurtic, meaning it has thinner tails compared to a normal distribution</t>
  </si>
  <si>
    <t>indicating fewer extreme values or outliers.</t>
  </si>
  <si>
    <t>2) Question : A research study wants to analyze the income distribution of a population to understand the level of income inequality.</t>
  </si>
  <si>
    <t>Let's consider the monthly incomes (in thousands of dollars) of a sample of 100 individuals:</t>
  </si>
  <si>
    <t>Incomes:</t>
  </si>
  <si>
    <t>1. Skewness: Calculate the skewness of the income distribution.</t>
  </si>
  <si>
    <t>2. Kurtosis: Calculate the kurtosis of the income distribution.</t>
  </si>
  <si>
    <t>3. Interpretation: Based on the skewness and kurtosis values, what can be inferred about the income inequality?</t>
  </si>
  <si>
    <t>The income distribution is fairly symmetric but slightly skewed to the right, meaning there are a few higher-income individuals.</t>
  </si>
  <si>
    <t>The negative kurtosis suggests that the income distribution has fewer extreme values (both high and low)</t>
  </si>
  <si>
    <t>compared to a normal distribution, indicating a relatively even spread of incomes.</t>
  </si>
  <si>
    <t>3) Question : A survey was conducted to analyze the satisfaction ratings of customers on a scale of 1 to 5 for a specific product.</t>
  </si>
  <si>
    <t>Let's consider the satisfaction ratings from 200 customers:</t>
  </si>
  <si>
    <t>1. Skewness: Calculate the skewness of the satisfaction ratings.</t>
  </si>
  <si>
    <t>2. Kurtosis: Calculate the kurtosis of the satisfaction ratings.</t>
  </si>
  <si>
    <t>3. Interpretation: Based on the skewness and kurtosis values, what can be inferred about the satisfaction ratings distribution?</t>
  </si>
  <si>
    <t>The satisfaction ratings are fairly symmetrically distributed, with a slight tendency towards lower ratings. The lower kurtosis value suggests that the ratings are more evenly spread rather than having extreme peaks.</t>
  </si>
  <si>
    <t>4) Question : A study wants to analyze the distribution of house prices in a specific city to understand the market trends.</t>
  </si>
  <si>
    <t>Let's consider the house prices (in thousands of dollars) for a sample of 150 houses:</t>
  </si>
  <si>
    <t>House Prices:</t>
  </si>
  <si>
    <t>1. Skewness: Calculate the skewness of the house price distribution.</t>
  </si>
  <si>
    <t>2. Kurtosis: Calculate the kurtosis of the house price distribution.</t>
  </si>
  <si>
    <t>3. Interpretation: Based on the skewness and kurtosis values, what can be inferred about the distribution of house prices?</t>
  </si>
  <si>
    <t>The skewness value (0.21) is close to zero, suggesting that the house price distribution is approximately symmetric with no strong skew towards higher or lower prices.</t>
  </si>
  <si>
    <t>The kurtosis value (-1.04) is negative, indicating a platykurtic distribution, meaning the distribution has lighter tails and is flatter compared to a normal distribution.</t>
  </si>
  <si>
    <t>This suggests that house prices are relatively evenly distributed without extreme outliers.</t>
  </si>
  <si>
    <t>5) Question : A company wants to analyze the waiting times of customers at a service center to improve operational efficiency.</t>
  </si>
  <si>
    <t>Let's consider the waiting times (in minutes) for a sample of 100 customers:</t>
  </si>
  <si>
    <t>Waiting Times:</t>
  </si>
  <si>
    <t>1. Skewness: Calculate the skewness of the waiting time distribution.</t>
  </si>
  <si>
    <t>Skewness:</t>
  </si>
  <si>
    <t>2. Kurtosis: Calculate the kurtosis of the waiting time distribution.</t>
  </si>
  <si>
    <t>Kurtosis :</t>
  </si>
  <si>
    <t>3. Interpretation: Based on the skewness and kurtosis values, what can be inferred about the waiting time distribution?</t>
  </si>
  <si>
    <t>The skewness value (0.000) indicates that the waiting time distribution is perfectly symmetrical, meaning customers experience a balanced distribution of wait times.</t>
  </si>
  <si>
    <t>The kurtosis value (-1.200) suggests a platykurtic distribution, meaning the distribution is flatter with lighter tails compared to a normal distribution.</t>
  </si>
  <si>
    <t>This indicates that waiting times are fairly evenly spread without extreme long waits or significantly short wait times.</t>
  </si>
  <si>
    <t>1) Question : A company wants to analyze the salary distribution of its employees to determine the income levels at different percentiles.</t>
  </si>
  <si>
    <t>Let's consider the monthly salaries (in thousands of dollars) of a sample of 200 employees:</t>
  </si>
  <si>
    <t>Salaries:</t>
  </si>
  <si>
    <t>1. Quartiles: Calculate the first quartile (Q1), median (Q2), and third quartile (Q3) of the salary distribution.</t>
  </si>
  <si>
    <t>Q1</t>
  </si>
  <si>
    <t>Q2</t>
  </si>
  <si>
    <t>Q3</t>
  </si>
  <si>
    <t>2. Percentiles: Calculate the 10th percentile, 25th percentile, 75th percentile, and 90th percentile of the salary distribution.</t>
  </si>
  <si>
    <t>10th</t>
  </si>
  <si>
    <t>25th</t>
  </si>
  <si>
    <t>75th</t>
  </si>
  <si>
    <t>90th</t>
  </si>
  <si>
    <t>3. Interpretation: Based on the quartiles and percentiles, what can be inferred about the income distribution of the employees?</t>
  </si>
  <si>
    <t>The median salary (Q2) is 252.5, which suggests that half of the employees earn below this amount, and half earn above it.</t>
  </si>
  <si>
    <t>The interquartile range (Q3 - Q1) is 247.5, indicating a moderate spread of salaries between the 25th and 75th percentiles.</t>
  </si>
  <si>
    <t>The 10th percentile (74.7) and 90th percentile (450.5) show that there is a significant range in salaries, suggesting income disparity within the company.</t>
  </si>
  <si>
    <t>If the company aims to reduce wage inequality, they might consider adjusting the lower quartile salaries upwards to narrow the gap.</t>
  </si>
  <si>
    <t>2) Question : A research study wants to analyze the weight distribution of a sample of individuals to assess their health and body composition.</t>
  </si>
  <si>
    <t>Let's consider the weights (in kilograms) of a sample of 100 individuals:</t>
  </si>
  <si>
    <t>Weights:</t>
  </si>
  <si>
    <t>1. Quartiles: Calculate the first quartile (Q1), median (Q2), and third quartile (Q3) of the weight distribution.</t>
  </si>
  <si>
    <t>Q2(Median)</t>
  </si>
  <si>
    <t>Kg</t>
  </si>
  <si>
    <t>2. Percentiles: Calculate the 15th percentile, 50th percentile, and 85th percentile of the weight distribution.</t>
  </si>
  <si>
    <t>15th</t>
  </si>
  <si>
    <t>50th</t>
  </si>
  <si>
    <t>85th</t>
  </si>
  <si>
    <t>kg</t>
  </si>
  <si>
    <t>3. Interpretation: Based on the quartiles and percentiles, what can be inferred about the weight distribution of the individuals?</t>
  </si>
  <si>
    <t>Ans:</t>
  </si>
  <si>
    <t>The weight distribution appears spread out, with a wide range of values.</t>
  </si>
  <si>
    <t>The median weight is 267.5 kg, meaning half of the individuals weigh less than this, and half weigh more.</t>
  </si>
  <si>
    <t>The first quartile (Q1) is 143.75 kg, indicating that 25% of individuals weigh below this.</t>
  </si>
  <si>
    <t>The third quartile (Q3) is 391.25 kg, meaning 75% of individuals weigh below this level.</t>
  </si>
  <si>
    <t>The 85th percentile (440.75 kg) suggests that 85% of individuals weigh less than this, while the top 15% weigh more.</t>
  </si>
  <si>
    <t>If this data represents a general population, it indicates a skewed distribution toward higher weights, possibly suggesting a small group of very high-weight individuals affecting the distribution.</t>
  </si>
  <si>
    <t>3) Question : A retail store wants to analyze the distribution of customer purchase amounts to identify their spending patterns.</t>
  </si>
  <si>
    <t>Let's consider the purchase amounts (in dollars) of a sample of 150 customers:</t>
  </si>
  <si>
    <t>Purchase Amounts:</t>
  </si>
  <si>
    <t>1. Quartiles: Calculate the first quartile (Q1), median (Q2), and third quartile (Q3) of the purchase amount distribution.</t>
  </si>
  <si>
    <t>2. Percentiles: Calculate the 20th percentile, 40th percentile, and 80th percentile of the purchase amount distribution.</t>
  </si>
  <si>
    <t>20th</t>
  </si>
  <si>
    <t>40th</t>
  </si>
  <si>
    <t>80th</t>
  </si>
  <si>
    <t>3. Interpretation: Based on the quartiles and percentiles, what can be inferred about the spending patterns of the customers?</t>
  </si>
  <si>
    <t>The median purchase amount is $292.5, meaning that half of the customers spend below this amount, and half spend above it</t>
  </si>
  <si>
    <t>The first quartile (Q1) is $156.25, indicating that 25% of customers spend less than this amount.</t>
  </si>
  <si>
    <t>The third quartile (Q3) is $428.75, meaning that 75% of customers spend below this amount, while the top 25% spend more.</t>
  </si>
  <si>
    <t>The 80th percentile is $456.0, showing that 80% of customers spend below this amount, and only the top 20% of spenders exceed it.</t>
  </si>
  <si>
    <t>The distribution suggests a gradual increase in spending with a broad range of purchase amounts, indicating diverse customer spending patterns.</t>
  </si>
  <si>
    <t>4) Question : A study wants to analyze the distribution of commute times of employees to determine the average time spent traveling to work.</t>
  </si>
  <si>
    <t>Let's consider the commute times (in minutes) of a sample of 250 employees:</t>
  </si>
  <si>
    <t>Commute Times:</t>
  </si>
  <si>
    <t>1. Quartiles: Calculate the first quartile (Q1), median (Q2), and third quartile (Q3) of the commute time distribution.</t>
  </si>
  <si>
    <t>minutes</t>
  </si>
  <si>
    <t>2. Percentiles: Calculate the 30th percentile, 50th percentile, and 70th percentile of the commute time distribution.</t>
  </si>
  <si>
    <t>30th</t>
  </si>
  <si>
    <t>70th</t>
  </si>
  <si>
    <t>3. Interpretation: Based on the quartiles and percentiles, what can be inferred about the average commute time of the employees?</t>
  </si>
  <si>
    <t>The median commute time of employees is 312.5 minutes, meaning half of the employees take less than or equal to this time to commute.</t>
  </si>
  <si>
    <t>The first quartile (Q1 = 163.75 minutes) indicates that 25% of employees have commute times below this value.</t>
  </si>
  <si>
    <t>The third quartile (Q3 = 461.25 minutes) shows that 75% of employees have commute times below this value.</t>
  </si>
  <si>
    <t>The 30th percentile (193.5 minutes) suggests that 30% of employees commute less than about 193.5 minutes, while the 70th percentile (431.5 minutes) shows that 70% of employees have commute times below about 431.5 minutes.</t>
  </si>
  <si>
    <t>The commute time distribution is right-skewed, meaning a significant number of employees experience long commute times.</t>
  </si>
  <si>
    <t>5) Question : A manufacturing company wants to analyze the defect rates in its production process to evaluate product quality.</t>
  </si>
  <si>
    <t xml:space="preserve">Data: </t>
  </si>
  <si>
    <t>Let's consider the defect rates (in percentage) for a sample of 300 products:</t>
  </si>
  <si>
    <t>Defect Rates:</t>
  </si>
  <si>
    <t>1. Quartiles: Calculate the first quartile (Q1), median (Q2), and third quartile (Q3) of the defect rate distribution.</t>
  </si>
  <si>
    <t>%</t>
  </si>
  <si>
    <t>2. Percentiles: Calculate the 25th percentile, 50th percentile, and 75th percentile of the defect rate distribution.</t>
  </si>
  <si>
    <t>3. Interpretation: Based on the quartiles and percentiles, what can be inferred about the quality of the products?</t>
  </si>
  <si>
    <t>The median defect rate is 0.7%, meaning half of the products have a defect rate below or equal to this value.</t>
  </si>
  <si>
    <t>The first quartile (Q1 = 0.4%) shows that 25% of the products have a defect rate below this value, indicating a fairly low defect rate for a quarter of the sample.</t>
  </si>
  <si>
    <t>The third quartile (Q3 = 0.9%) suggests that 75% of the products have defect rates below this value.</t>
  </si>
  <si>
    <t>Since the range between Q1 and Q3 is relatively small (0.4% to 0.9%), it suggests low variability in defect rates.</t>
  </si>
  <si>
    <t>The overall defect rate appears to be low, which indicates good product quality in most cases.</t>
  </si>
  <si>
    <t>1) Question : A marketing department wants to understand the relationship between advertising expenditure and sales revenue to assess the effectiveness of their advertising campaigns.</t>
  </si>
  <si>
    <t>Let's consider the monthly advertising expenditure (in thousands of dollars) and corresponding sales revenue (in thousands of dollars) for a sample of 12 months:</t>
  </si>
  <si>
    <t>Advertising Expenditure</t>
  </si>
  <si>
    <t>Sales Revenue</t>
  </si>
  <si>
    <t>The correlation coefficient between advertising expenditure and sales revenue is 0.9992</t>
  </si>
  <si>
    <t>1. Calculate the correlation coefficient between advertising expenditure and sales revenue.</t>
  </si>
  <si>
    <t>2.Interpret the value of the correlation coefficient and explain the nature of the relationship between advertising expenditure and sales revenue.</t>
  </si>
  <si>
    <t>Interpretation:</t>
  </si>
  <si>
    <t>A correlation coefficient of 0.999 is very close to 1, indicating an extremely strong positive correlation between advertising expenditure and sales revenue.</t>
  </si>
  <si>
    <t>This suggests that as the company increases its advertising expenditure, sales revenue also increases in a nearly linear fashion.</t>
  </si>
  <si>
    <t>The high correlation implies that advertising expenditure is likely a major factor influencing sales revenue, though other external factors may also play a role.</t>
  </si>
  <si>
    <t>2) Question : An investment analyst wants to assess the relationship between the stock prices of two companies to identify potential investment opportunities.</t>
  </si>
  <si>
    <t>Let's consider the daily closing prices (in dollars) of Company A and Company B for a sample of 20 trading days:</t>
  </si>
  <si>
    <t>Company A</t>
  </si>
  <si>
    <t>Company B</t>
  </si>
  <si>
    <t>1.Calculate the covariance between the stock prices of Company A and Company B.</t>
  </si>
  <si>
    <t>The covariance between the stock prices of Company A and Company B is 0.9986.</t>
  </si>
  <si>
    <t xml:space="preserve">  Ans :</t>
  </si>
  <si>
    <t>A positive covariance indicates that the stock prices of Company A and Company B tend to move in the same direction.</t>
  </si>
  <si>
    <t>Since the covariance value is relatively large, it suggests a strong relationship between the two stocks—when the price of Company A increases, the price of Company B also tends to increase, and vice versa.</t>
  </si>
  <si>
    <t>However, covariance alone does not measure the strength of the relationship (it depends on the scale of data). A correlation coefficient would provide a better understanding of the strength and consistency of this relationship.</t>
  </si>
  <si>
    <t>2.Interpretation:</t>
  </si>
  <si>
    <t>3) Question : A researcher wants to examine the relationship between the hours spent studying and the exam scores of a group of students.</t>
  </si>
  <si>
    <t>Let's consider the number of hours spent studying and the corresponding exam scores for a sample of 30 students:</t>
  </si>
  <si>
    <t>Hours Spent Studying</t>
  </si>
  <si>
    <t>Exam Scores</t>
  </si>
  <si>
    <t>1. Calculate the correlation coefficient between the hours spent studying and the exam scores.</t>
  </si>
  <si>
    <t>The correlation coefficient between hours spent studying and exam scores is 0.977.</t>
  </si>
  <si>
    <t>A correlation coefficient of 0.977 is very close to 1, indicating a strong positive correlation.</t>
  </si>
  <si>
    <t>This suggests that as students spend more hours studying, their exam scores increase significantly.</t>
  </si>
  <si>
    <t>The relationship appears to be nearly linear, meaning that increasing study time is highly associated with higher scores.</t>
  </si>
  <si>
    <t>This strong correlation implies that study hours are a major contributing factor to exam performance.</t>
  </si>
  <si>
    <t>Discrete Random Variable:</t>
  </si>
  <si>
    <t>1. Problem: A fair six-sided die is rolled 100 times. What is the probability of rolling exactly five 3's?</t>
  </si>
  <si>
    <t>Data: Number of rolls (n) = 100</t>
  </si>
  <si>
    <t>N</t>
  </si>
  <si>
    <t>P(6)</t>
  </si>
  <si>
    <t>x</t>
  </si>
  <si>
    <t>ANS</t>
  </si>
  <si>
    <t>The probability of rolling exactly five 3's in 100 rolls of a fair six-sided die is approximately 0.00029 (or 0.029%).</t>
  </si>
  <si>
    <t>2. Problem: In a deck of 52 playing cards, five cards are randomly drawn without replacement. What is the probability of getting two hearts?</t>
  </si>
  <si>
    <t>Data: Number of hearts in the deck (N) = 13, Number of cards drawn (n) = 5</t>
  </si>
  <si>
    <t>n</t>
  </si>
  <si>
    <t>K</t>
  </si>
  <si>
    <t>The probability of drawing exactly two hearts in a five-card hand from a standard deck of 52 cards is approximately 0.2743 (or 26.37%).</t>
  </si>
  <si>
    <t>3. Problem: A multiple-choice test consists of 10 questions, each with four possible answers. If a student randomly guesses on each question, what is the probability of getting at least 8 questions correct?</t>
  </si>
  <si>
    <t>Data: Number of questions (n) = 10, Number of possible answers per question (k) = 4</t>
  </si>
  <si>
    <t>p(4)</t>
  </si>
  <si>
    <t>P(X&gt;8)</t>
  </si>
  <si>
    <t>?</t>
  </si>
  <si>
    <t>The probability of randomly guessing and getting at least 8 questions correct on a 10 question multiple-choice test is approximately 0.9969 (or 99.7%).</t>
  </si>
  <si>
    <t>4. Problem: A bag contains 30 red balls, 20 blue balls, and 10 green balls. Three balls are drawn without replacement. What is the probability that all three balls are blue?</t>
  </si>
  <si>
    <t>Data: Number of blue balls in the bag (N) = 20, Number of balls drawn (n) = 3</t>
  </si>
  <si>
    <t>p(x)</t>
  </si>
  <si>
    <t>The probability of drawing three blue balls from the bag without replacement is approximately 0.0333 (or 3.33%).</t>
  </si>
  <si>
    <t>5. Problem: In a football match, a player scores a goal with a 0.3 probability per shot. If the player takes 10 shots, what is the probability of scoring exactly three goals?</t>
  </si>
  <si>
    <t>Data: Number of shots (n) = 10, Probability of scoring per shot (p) = 0.3</t>
  </si>
  <si>
    <t>p</t>
  </si>
  <si>
    <t>The probability of scoring exactly three goals in 10 shots is approximately 0.2668 (or 26.68%).</t>
  </si>
  <si>
    <t>Correlation and Covariance</t>
  </si>
  <si>
    <t>Percentile and Quartiles</t>
  </si>
  <si>
    <t xml:space="preserve"> Measure of Skewness and Kurtos</t>
  </si>
  <si>
    <t xml:space="preserve"> Measure of Central Tendency</t>
  </si>
  <si>
    <t>Continuous Random Variable</t>
  </si>
  <si>
    <t>1. Problem: The heights of students in a class are normally distributed with a mean of 165 cm and a standard deviation of 10 cm. What is the probability that a randomly selected student is taller than 180 cm?</t>
  </si>
  <si>
    <t>mean</t>
  </si>
  <si>
    <t>std.dev</t>
  </si>
  <si>
    <t>Ans</t>
  </si>
  <si>
    <t>The probability that a randomly selected student is taller than 180 cm is approximately 0.0668 (or 6.68%)</t>
  </si>
  <si>
    <t>2. Problem: The waiting times at a coffee shop are exponentially distributed with a mean of 5 minutes. What is the probability that a customer waits less than 3 minutes?</t>
  </si>
  <si>
    <t xml:space="preserve">x </t>
  </si>
  <si>
    <t>The probability that a customer waits less than 3 minutes is approximately 0.4512 (or 45.12%).</t>
  </si>
  <si>
    <t>3. Problem: The lifetimes of a certain brand of light bulbs are normally distributed with a mean of 1000 hours and a standard deviation of 100 hours. What is the probability that a randomly selected light bulb lasts between 900 and 1100 hours?</t>
  </si>
  <si>
    <t>900-1100</t>
  </si>
  <si>
    <t>The probability that a randomly selected light bulb lasts between 900 and 1100 hours is approximately 0.6827 (or 68.27%).</t>
  </si>
  <si>
    <t>4. Problem: The weights of apples in a basket follow a uniform distribution between 100 grams and 200 grams. What is the probability that a randomly selected apple weighs between 150 and 170 grams?</t>
  </si>
  <si>
    <t>(150-170)</t>
  </si>
  <si>
    <t>The probability that a randomly selected apple weighs between 150 and 170 grams is approximately 0.2000 (or 20.00%).</t>
  </si>
  <si>
    <t>5. Problem: The time taken to complete a task is exponentially distributed with a mean of 20 minutes. What is the probability that the task is completed in less than 15 minutes?</t>
  </si>
  <si>
    <t>x&lt;15</t>
  </si>
  <si>
    <t>lambda</t>
  </si>
  <si>
    <t>The probability that the task is completed in less than 15 minutes is approximately 0.5276 (or 52.76%).</t>
  </si>
  <si>
    <t>Discrete Distribution:</t>
  </si>
  <si>
    <t>1. Problem: A company sells smartphones, and the number of defects per batch follows a Poisson distribution with a mean of 2 defects. What is the probability of having exactly 3 defects in a randomly selected batch?</t>
  </si>
  <si>
    <t>Explanation:</t>
  </si>
  <si>
    <t>The problem involves a discrete distribution (Poisson) because we are dealing with the count of defects in a batch of smartphones.</t>
  </si>
  <si>
    <t>The Poisson distribution models the probability of a given number of events occurring within a fixed interval of time or space.</t>
  </si>
  <si>
    <t xml:space="preserve">The probability of having exactly 3 defects in a randomly selected batch is 0.1804 (18.04%). </t>
  </si>
  <si>
    <t>2. Problem: In a game, a player has a 0.3 probability of winning each round. If the player plays 10 rounds, what is the probability of winning exactly 3 rounds?</t>
  </si>
  <si>
    <t>This problem also involves a discrete distribution (Binomial) because we are dealing with a fixed number of independent trials (rounds) with a probability of success (winning) in each trial.</t>
  </si>
  <si>
    <t>The Binomial distribution models the probability of achieving a certain number of successes in a fixed number of trials.</t>
  </si>
  <si>
    <t>The probability of winning exactly 3 rounds in 10 rounds is 0.2668 (26.68%).</t>
  </si>
  <si>
    <t>3. Problem: A six-sided fair die is rolled three times. What is the probability of obtaining at least one 6?</t>
  </si>
  <si>
    <t>GD   =</t>
  </si>
  <si>
    <t>P*Q^N-1</t>
  </si>
  <si>
    <t>P</t>
  </si>
  <si>
    <t>Here, we have a discrete distribution (Geometric) since we are interested in the number of trials required to achieve the first success (rolling a 6) in a sequence of independent trials.</t>
  </si>
  <si>
    <t>The Geometric distribution models the probability of achieving the first success on a specific trial.</t>
  </si>
  <si>
    <t>The probability of obtaining at least one 6 in three rolls of a fair six-sided die is 0.4213 (42.13%).</t>
  </si>
  <si>
    <t>Continuous Distribution:</t>
  </si>
  <si>
    <t>1. Problem: The weights of apples in a basket follow a normal distribution with a mean of 150 grams and a standard deviation of 10 grams. What is the probability that a randomly selected apple weighs between 140 and 160 grams?</t>
  </si>
  <si>
    <t>x1</t>
  </si>
  <si>
    <t>x2</t>
  </si>
  <si>
    <t>This problem involves a continuous distribution (Normal) since we are dealing with the weights of apples, which can take on any value within a range.</t>
  </si>
  <si>
    <t>The Normal distribution is commonly used to model continuous variables with a symmetric bell-shaped distribution.</t>
  </si>
  <si>
    <t>The probability that a randomly selected apple weighs between 140 and 160 grams is 0.6827 (68.27%).</t>
  </si>
  <si>
    <t>2. Problem: The lifetimes of a certain brand of light bulbs are exponentially distributed with a mean of 1000 hours. What is the probability that a randomly selected light bulb lasts more than 900 hours?</t>
  </si>
  <si>
    <t>x&lt;900</t>
  </si>
  <si>
    <t>Here, we have a continuous distribution (Exponential) since we are interested in the time until an event (light bulb failure) occurs.</t>
  </si>
  <si>
    <t>The Exponential distribution models the probability of waiting a certain amount of time before the event happens.</t>
  </si>
  <si>
    <t>The probability that a randomly selected light bulb lasts more than 900 hours is 0.4066 (40.66%).</t>
  </si>
  <si>
    <t>Confidence Interval Problems:</t>
  </si>
  <si>
    <t>1. Problem: A study is conducted to estimate the mean height of a population. A random sample of 100 individuals is selected, and their heights are measured.</t>
  </si>
  <si>
    <t>Calculate a 95% confidence interval for the population mean height, given that the sample mean height is 170 cm and the sample standard deviation is 8 cm.</t>
  </si>
  <si>
    <t>s.mean</t>
  </si>
  <si>
    <t>s.std.dev</t>
  </si>
  <si>
    <t>HV</t>
  </si>
  <si>
    <t>LV</t>
  </si>
  <si>
    <t>z (95 %)</t>
  </si>
  <si>
    <t>In this problem, we use a sample to estimate the population mean height. By calculating a confidence interval, we provide a range of plausible values for the population mean.</t>
  </si>
  <si>
    <t>The 95% confidence level indicates that we are 95% confident that the true population mean height falls within the calculated interval.</t>
  </si>
  <si>
    <t>The 95% confidence interval for the population mean height is approximately (168.41 cm, 171.59 cm).</t>
  </si>
  <si>
    <t>2. Problem: A survey is conducted to estimate the proportion of people in a city who support a particular policy. A random sample of 500 individuals is surveyed, and 320 of them express support for the policy.</t>
  </si>
  <si>
    <t>Calculate a 90% confidence interval for the population proportion, given the sample proportion.</t>
  </si>
  <si>
    <t>z (90 % )</t>
  </si>
  <si>
    <t>supporters</t>
  </si>
  <si>
    <t>C.I</t>
  </si>
  <si>
    <t>C,I</t>
  </si>
  <si>
    <t>In this problem, we aim to estimate the population proportion based on the sample proportion. By constructing a confidence interval, we provide a range of plausible values for the population proportion.</t>
  </si>
  <si>
    <t>The 90% confidence level indicates that we are 90% confident that the true population proportion falls within the calculated interval.</t>
  </si>
  <si>
    <t>The 90% confidence interval for the population proportion is approximately (0.605, 0.675) or (60.5%, 67.5%).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</si>
</sst>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70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ED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 indent="2"/>
    </xf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164" fontId="3" fillId="4" borderId="0" xfId="0" applyNumberFormat="1" applyFont="1" applyFill="1"/>
    <xf numFmtId="0" fontId="0" fillId="0" borderId="0" xfId="0" applyAlignment="1">
      <alignment vertical="center"/>
    </xf>
    <xf numFmtId="0" fontId="4" fillId="2" borderId="0" xfId="0" applyFont="1" applyFill="1"/>
    <xf numFmtId="0" fontId="1" fillId="0" borderId="0" xfId="0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1" fontId="1" fillId="2" borderId="0" xfId="0" applyNumberFormat="1" applyFont="1" applyFill="1" applyAlignment="1">
      <alignment horizontal="center"/>
    </xf>
    <xf numFmtId="0" fontId="6" fillId="2" borderId="0" xfId="0" applyFont="1" applyFill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2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0" fillId="0" borderId="3" xfId="0" applyBorder="1"/>
    <xf numFmtId="0" fontId="8" fillId="0" borderId="4" xfId="0" applyFont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6" borderId="3" xfId="0" applyFill="1" applyBorder="1"/>
    <xf numFmtId="0" fontId="8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170" fontId="1" fillId="2" borderId="0" xfId="0" applyNumberFormat="1" applyFont="1" applyFill="1"/>
    <xf numFmtId="0" fontId="1" fillId="7" borderId="0" xfId="0" applyFont="1" applyFill="1"/>
    <xf numFmtId="0" fontId="0" fillId="0" borderId="0" xfId="0" applyAlignment="1"/>
    <xf numFmtId="0" fontId="0" fillId="7" borderId="0" xfId="0" applyFill="1" applyAlignment="1"/>
    <xf numFmtId="0" fontId="0" fillId="7" borderId="0" xfId="0" applyFill="1"/>
    <xf numFmtId="0" fontId="1" fillId="7" borderId="0" xfId="0" applyFont="1" applyFill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Measure of Central Tendency'!$A$293</c:f>
              <c:strCache>
                <c:ptCount val="1"/>
                <c:pt idx="0">
                  <c:v>Frequency: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Measure of Central Tendency'!$B$292:$H$292</c:f>
              <c:strCache>
                <c:ptCount val="7"/>
                <c:pt idx="0">
                  <c:v>A</c:v>
                </c:pt>
                <c:pt idx="1">
                  <c:v> B</c:v>
                </c:pt>
                <c:pt idx="2">
                  <c:v> C</c:v>
                </c:pt>
                <c:pt idx="3">
                  <c:v> D</c:v>
                </c:pt>
                <c:pt idx="4">
                  <c:v> E</c:v>
                </c:pt>
                <c:pt idx="5">
                  <c:v> F</c:v>
                </c:pt>
                <c:pt idx="6">
                  <c:v> G</c:v>
                </c:pt>
              </c:strCache>
            </c:strRef>
          </c:cat>
          <c:val>
            <c:numRef>
              <c:f>' Measure of Central Tendency'!$B$293:$H$293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20</c:v>
                </c:pt>
                <c:pt idx="3">
                  <c:v>10</c:v>
                </c:pt>
                <c:pt idx="4">
                  <c:v>45</c:v>
                </c:pt>
                <c:pt idx="5">
                  <c:v>25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D-48AA-BE98-4779BD22E5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2423951"/>
        <c:axId val="662436431"/>
      </c:barChart>
      <c:catAx>
        <c:axId val="66242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Defect</a:t>
                </a:r>
                <a:r>
                  <a:rPr lang="en-IN" baseline="0"/>
                  <a:t> Type</a:t>
                </a:r>
                <a:endParaRPr lang="en-IN"/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436431"/>
        <c:crosses val="autoZero"/>
        <c:auto val="1"/>
        <c:lblAlgn val="ctr"/>
        <c:lblOffset val="100"/>
        <c:noMultiLvlLbl val="0"/>
      </c:catAx>
      <c:valAx>
        <c:axId val="6624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Frequency </a:t>
                </a:r>
                <a:endParaRPr lang="en-IN"/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42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Measure of Central Tendency'!$A$293</c:f>
              <c:strCache>
                <c:ptCount val="1"/>
                <c:pt idx="0">
                  <c:v>Frequency: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Measure of Central Tendency'!$B$292:$H$292</c:f>
              <c:strCache>
                <c:ptCount val="7"/>
                <c:pt idx="0">
                  <c:v>A</c:v>
                </c:pt>
                <c:pt idx="1">
                  <c:v> B</c:v>
                </c:pt>
                <c:pt idx="2">
                  <c:v> C</c:v>
                </c:pt>
                <c:pt idx="3">
                  <c:v> D</c:v>
                </c:pt>
                <c:pt idx="4">
                  <c:v> E</c:v>
                </c:pt>
                <c:pt idx="5">
                  <c:v> F</c:v>
                </c:pt>
                <c:pt idx="6">
                  <c:v> G</c:v>
                </c:pt>
              </c:strCache>
            </c:strRef>
          </c:cat>
          <c:val>
            <c:numRef>
              <c:f>' Measure of Central Tendency'!$B$293:$H$293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20</c:v>
                </c:pt>
                <c:pt idx="3">
                  <c:v>10</c:v>
                </c:pt>
                <c:pt idx="4">
                  <c:v>45</c:v>
                </c:pt>
                <c:pt idx="5">
                  <c:v>25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F-40FB-8BB5-F87F7C8CA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88935823"/>
        <c:axId val="788937263"/>
      </c:barChart>
      <c:catAx>
        <c:axId val="788935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Defect</a:t>
                </a:r>
                <a:r>
                  <a:rPr lang="en-IN" baseline="0"/>
                  <a:t> Type</a:t>
                </a:r>
                <a:endParaRPr lang="en-IN"/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37263"/>
        <c:crosses val="autoZero"/>
        <c:auto val="1"/>
        <c:lblAlgn val="ctr"/>
        <c:lblOffset val="100"/>
        <c:noMultiLvlLbl val="0"/>
      </c:catAx>
      <c:valAx>
        <c:axId val="788937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3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Measure of Central Tendency'!$A$361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 Measure of Central Tendency'!$B$360:$G$360</c15:sqref>
                  </c15:fullRef>
                </c:ext>
              </c:extLst>
              <c:f>' Measure of Central Tendency'!$C$360:$G$360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Measure of Central Tendency'!$B$361:$G$361</c15:sqref>
                  </c15:fullRef>
                </c:ext>
              </c:extLst>
              <c:f>' Measure of Central Tendency'!$C$361:$G$361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30</c:v>
                </c:pt>
                <c:pt idx="3" formatCode="0">
                  <c:v>39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3-4E46-B739-6230FDCAA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553823"/>
        <c:axId val="1420555743"/>
      </c:barChart>
      <c:catAx>
        <c:axId val="1420553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Ratings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55743"/>
        <c:crosses val="autoZero"/>
        <c:auto val="1"/>
        <c:lblAlgn val="ctr"/>
        <c:lblOffset val="100"/>
        <c:noMultiLvlLbl val="0"/>
      </c:catAx>
      <c:valAx>
        <c:axId val="142055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Frequency </a:t>
                </a:r>
                <a:endParaRPr lang="en-IN"/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5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 Measure of Central Tendency'!$A$427:$A$476</c:f>
              <c:numCache>
                <c:formatCode>General</c:formatCode>
                <c:ptCount val="50"/>
                <c:pt idx="0">
                  <c:v>35</c:v>
                </c:pt>
                <c:pt idx="1">
                  <c:v>28</c:v>
                </c:pt>
                <c:pt idx="2">
                  <c:v>32</c:v>
                </c:pt>
                <c:pt idx="3">
                  <c:v>45</c:v>
                </c:pt>
                <c:pt idx="4">
                  <c:v>38</c:v>
                </c:pt>
                <c:pt idx="5">
                  <c:v>29</c:v>
                </c:pt>
                <c:pt idx="6">
                  <c:v>42</c:v>
                </c:pt>
                <c:pt idx="7">
                  <c:v>30</c:v>
                </c:pt>
                <c:pt idx="8">
                  <c:v>36</c:v>
                </c:pt>
                <c:pt idx="9">
                  <c:v>41</c:v>
                </c:pt>
                <c:pt idx="10">
                  <c:v>47</c:v>
                </c:pt>
                <c:pt idx="11">
                  <c:v>31</c:v>
                </c:pt>
                <c:pt idx="12">
                  <c:v>39</c:v>
                </c:pt>
                <c:pt idx="13">
                  <c:v>43</c:v>
                </c:pt>
                <c:pt idx="14">
                  <c:v>37</c:v>
                </c:pt>
                <c:pt idx="15">
                  <c:v>30</c:v>
                </c:pt>
                <c:pt idx="16">
                  <c:v>34</c:v>
                </c:pt>
                <c:pt idx="17">
                  <c:v>39</c:v>
                </c:pt>
                <c:pt idx="18">
                  <c:v>28</c:v>
                </c:pt>
                <c:pt idx="19">
                  <c:v>33</c:v>
                </c:pt>
                <c:pt idx="20">
                  <c:v>36</c:v>
                </c:pt>
                <c:pt idx="21">
                  <c:v>40</c:v>
                </c:pt>
                <c:pt idx="22">
                  <c:v>42</c:v>
                </c:pt>
                <c:pt idx="23">
                  <c:v>29</c:v>
                </c:pt>
                <c:pt idx="24">
                  <c:v>31</c:v>
                </c:pt>
                <c:pt idx="25">
                  <c:v>45</c:v>
                </c:pt>
                <c:pt idx="26">
                  <c:v>38</c:v>
                </c:pt>
                <c:pt idx="27">
                  <c:v>33</c:v>
                </c:pt>
                <c:pt idx="28">
                  <c:v>41</c:v>
                </c:pt>
                <c:pt idx="29">
                  <c:v>35</c:v>
                </c:pt>
                <c:pt idx="30">
                  <c:v>37</c:v>
                </c:pt>
                <c:pt idx="31">
                  <c:v>34</c:v>
                </c:pt>
                <c:pt idx="32">
                  <c:v>46</c:v>
                </c:pt>
                <c:pt idx="33">
                  <c:v>30</c:v>
                </c:pt>
                <c:pt idx="34">
                  <c:v>39</c:v>
                </c:pt>
                <c:pt idx="35">
                  <c:v>43</c:v>
                </c:pt>
                <c:pt idx="36">
                  <c:v>28</c:v>
                </c:pt>
                <c:pt idx="37">
                  <c:v>32</c:v>
                </c:pt>
                <c:pt idx="38">
                  <c:v>36</c:v>
                </c:pt>
                <c:pt idx="39">
                  <c:v>29</c:v>
                </c:pt>
                <c:pt idx="40">
                  <c:v>31</c:v>
                </c:pt>
                <c:pt idx="41">
                  <c:v>37</c:v>
                </c:pt>
                <c:pt idx="42">
                  <c:v>40</c:v>
                </c:pt>
                <c:pt idx="43">
                  <c:v>42</c:v>
                </c:pt>
                <c:pt idx="44">
                  <c:v>33</c:v>
                </c:pt>
                <c:pt idx="45">
                  <c:v>39</c:v>
                </c:pt>
                <c:pt idx="46">
                  <c:v>28</c:v>
                </c:pt>
                <c:pt idx="47">
                  <c:v>35</c:v>
                </c:pt>
                <c:pt idx="48">
                  <c:v>38</c:v>
                </c:pt>
                <c:pt idx="4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F-47D8-A9C6-F0ABBAF88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941752271"/>
        <c:axId val="1941756591"/>
      </c:barChart>
      <c:catAx>
        <c:axId val="1941752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56591"/>
        <c:crosses val="autoZero"/>
        <c:auto val="1"/>
        <c:lblAlgn val="ctr"/>
        <c:lblOffset val="100"/>
        <c:noMultiLvlLbl val="0"/>
      </c:catAx>
      <c:valAx>
        <c:axId val="194175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Frequncy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52271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 Measure of Central Tendency'!$A$544</c:f>
              <c:strCache>
                <c:ptCount val="1"/>
                <c:pt idx="0">
                  <c:v>Frequncy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Measure of Central Tendency'!$B$544:$Y$544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9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4</c:v>
                </c:pt>
                <c:pt idx="16">
                  <c:v>5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0-4FB0-8884-25833E303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35535"/>
        <c:axId val="262360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 Measure of Central Tendency'!$A$543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 Measure of Central Tendency'!$B$543:$Y$543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118</c:v>
                      </c:pt>
                      <c:pt idx="1">
                        <c:v>119</c:v>
                      </c:pt>
                      <c:pt idx="2">
                        <c:v>120</c:v>
                      </c:pt>
                      <c:pt idx="3">
                        <c:v>122</c:v>
                      </c:pt>
                      <c:pt idx="4">
                        <c:v>123</c:v>
                      </c:pt>
                      <c:pt idx="5">
                        <c:v>124</c:v>
                      </c:pt>
                      <c:pt idx="6">
                        <c:v>125</c:v>
                      </c:pt>
                      <c:pt idx="7">
                        <c:v>126</c:v>
                      </c:pt>
                      <c:pt idx="8">
                        <c:v>127</c:v>
                      </c:pt>
                      <c:pt idx="9">
                        <c:v>128</c:v>
                      </c:pt>
                      <c:pt idx="10">
                        <c:v>129</c:v>
                      </c:pt>
                      <c:pt idx="11">
                        <c:v>130</c:v>
                      </c:pt>
                      <c:pt idx="12">
                        <c:v>131</c:v>
                      </c:pt>
                      <c:pt idx="13">
                        <c:v>132</c:v>
                      </c:pt>
                      <c:pt idx="14">
                        <c:v>133</c:v>
                      </c:pt>
                      <c:pt idx="15">
                        <c:v>134</c:v>
                      </c:pt>
                      <c:pt idx="16">
                        <c:v>135</c:v>
                      </c:pt>
                      <c:pt idx="17">
                        <c:v>136</c:v>
                      </c:pt>
                      <c:pt idx="18">
                        <c:v>137</c:v>
                      </c:pt>
                      <c:pt idx="19">
                        <c:v>138</c:v>
                      </c:pt>
                      <c:pt idx="20">
                        <c:v>140</c:v>
                      </c:pt>
                      <c:pt idx="21">
                        <c:v>141</c:v>
                      </c:pt>
                      <c:pt idx="22">
                        <c:v>145</c:v>
                      </c:pt>
                      <c:pt idx="23">
                        <c:v>148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B80-4FB0-8884-25833E30320C}"/>
                  </c:ext>
                </c:extLst>
              </c15:ser>
            </c15:filteredBarSeries>
          </c:ext>
        </c:extLst>
      </c:barChart>
      <c:catAx>
        <c:axId val="2623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6015"/>
        <c:crosses val="autoZero"/>
        <c:auto val="1"/>
        <c:lblAlgn val="ctr"/>
        <c:lblOffset val="100"/>
        <c:noMultiLvlLbl val="0"/>
      </c:catAx>
      <c:valAx>
        <c:axId val="2623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Measure of Central Tendency'!$A$595</c:f>
              <c:strCache>
                <c:ptCount val="1"/>
                <c:pt idx="0">
                  <c:v>Region 1: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Measure of Central Tendency'!$B$595:$K$595</c:f>
              <c:numCache>
                <c:formatCode>General</c:formatCode>
                <c:ptCount val="10"/>
                <c:pt idx="0">
                  <c:v>45</c:v>
                </c:pt>
                <c:pt idx="1">
                  <c:v>35</c:v>
                </c:pt>
                <c:pt idx="2">
                  <c:v>40</c:v>
                </c:pt>
                <c:pt idx="3">
                  <c:v>38</c:v>
                </c:pt>
                <c:pt idx="4">
                  <c:v>42</c:v>
                </c:pt>
                <c:pt idx="5">
                  <c:v>37</c:v>
                </c:pt>
                <c:pt idx="6">
                  <c:v>39</c:v>
                </c:pt>
                <c:pt idx="7">
                  <c:v>43</c:v>
                </c:pt>
                <c:pt idx="8">
                  <c:v>44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7-4664-B2A5-7110DF6B36DB}"/>
            </c:ext>
          </c:extLst>
        </c:ser>
        <c:ser>
          <c:idx val="1"/>
          <c:order val="1"/>
          <c:tx>
            <c:strRef>
              <c:f>' Measure of Central Tendency'!$A$596</c:f>
              <c:strCache>
                <c:ptCount val="1"/>
                <c:pt idx="0">
                  <c:v>Region 2: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Measure of Central Tendency'!$B$596:$K$596</c:f>
              <c:numCache>
                <c:formatCode>General</c:formatCode>
                <c:ptCount val="10"/>
                <c:pt idx="0">
                  <c:v>32</c:v>
                </c:pt>
                <c:pt idx="1">
                  <c:v>28</c:v>
                </c:pt>
                <c:pt idx="2">
                  <c:v>30</c:v>
                </c:pt>
                <c:pt idx="3">
                  <c:v>34</c:v>
                </c:pt>
                <c:pt idx="4">
                  <c:v>33</c:v>
                </c:pt>
                <c:pt idx="5">
                  <c:v>35</c:v>
                </c:pt>
                <c:pt idx="6">
                  <c:v>31</c:v>
                </c:pt>
                <c:pt idx="7">
                  <c:v>29</c:v>
                </c:pt>
                <c:pt idx="8">
                  <c:v>36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7-4664-B2A5-7110DF6B36DB}"/>
            </c:ext>
          </c:extLst>
        </c:ser>
        <c:ser>
          <c:idx val="2"/>
          <c:order val="2"/>
          <c:tx>
            <c:strRef>
              <c:f>' Measure of Central Tendency'!$A$597</c:f>
              <c:strCache>
                <c:ptCount val="1"/>
                <c:pt idx="0">
                  <c:v>Region 3: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Measure of Central Tendency'!$B$597:$K$597</c:f>
              <c:numCache>
                <c:formatCode>General</c:formatCode>
                <c:ptCount val="10"/>
                <c:pt idx="0">
                  <c:v>40</c:v>
                </c:pt>
                <c:pt idx="1">
                  <c:v>39</c:v>
                </c:pt>
                <c:pt idx="2">
                  <c:v>42</c:v>
                </c:pt>
                <c:pt idx="3">
                  <c:v>41</c:v>
                </c:pt>
                <c:pt idx="4">
                  <c:v>38</c:v>
                </c:pt>
                <c:pt idx="5">
                  <c:v>43</c:v>
                </c:pt>
                <c:pt idx="6">
                  <c:v>45</c:v>
                </c:pt>
                <c:pt idx="7">
                  <c:v>44</c:v>
                </c:pt>
                <c:pt idx="8">
                  <c:v>41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F7-4664-B2A5-7110DF6B3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1753231"/>
        <c:axId val="1941755151"/>
      </c:barChart>
      <c:catAx>
        <c:axId val="194175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55151"/>
        <c:crosses val="autoZero"/>
        <c:auto val="1"/>
        <c:lblAlgn val="ctr"/>
        <c:lblOffset val="100"/>
        <c:noMultiLvlLbl val="0"/>
      </c:catAx>
      <c:valAx>
        <c:axId val="194175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5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  <cx:data id="1">
      <cx:numDim type="val">
        <cx:f dir="row">_xlchart.v1.6</cx:f>
      </cx:numDim>
    </cx:data>
    <cx:data id="2">
      <cx:numDim type="val">
        <cx:f dir="row">_xlchart.v1.7</cx:f>
      </cx:numDim>
    </cx:data>
    <cx:data id="3">
      <cx:numDim type="val">
        <cx:f dir="row">_xlchart.v1.8</cx:f>
      </cx:numDim>
    </cx:data>
    <cx:data id="4">
      <cx:numDim type="val">
        <cx:f dir="row">_xlchart.v1.9</cx:f>
      </cx:numDim>
    </cx:data>
    <cx:data id="5">
      <cx:numDim type="val">
        <cx:f dir="row">_xlchart.v1.10</cx:f>
      </cx:numDim>
    </cx:data>
    <cx:data id="6">
      <cx:numDim type="val">
        <cx:f dir="row">_xlchart.v1.11</cx:f>
      </cx:numDim>
    </cx:data>
    <cx:data id="7">
      <cx:numDim type="val">
        <cx:f dir="row">_xlchart.v1.12</cx:f>
      </cx:numDim>
    </cx:data>
    <cx:data id="8">
      <cx:numDim type="val">
        <cx:f dir="row">_xlchart.v1.13</cx:f>
      </cx:numDim>
    </cx:data>
    <cx:data id="9">
      <cx:numDim type="val">
        <cx:f dir="row"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Frequency </a:t>
            </a:r>
            <a:endParaRPr lang="en-US" sz="1800" b="1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endParaRPr>
          </a:p>
        </cx:rich>
      </cx:tx>
      <cx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cx:spPr>
    </cx:title>
    <cx:plotArea>
      <cx:plotAreaRegion>
        <cx:series layoutId="clusteredColumn" uniqueId="{B50C237A-5341-4031-9B86-297EB5139E94}" formatIdx="0">
          <cx:dataLabels>
            <cx:visibility seriesName="0" categoryName="0" value="1"/>
          </cx:dataLabels>
          <cx:dataId val="0"/>
          <cx:layoutPr>
            <cx:binning intervalClosed="r">
              <cx:binCount val="4"/>
            </cx:binning>
          </cx:layoutPr>
        </cx:series>
        <cx:series layoutId="clusteredColumn" hidden="1" uniqueId="{D7A1760C-4CB2-4406-957F-8841E925A7E9}" formatIdx="1">
          <cx:dataLabels>
            <cx:visibility seriesName="0" categoryName="0" value="1"/>
          </cx:dataLabels>
          <cx:dataId val="1"/>
          <cx:layoutPr>
            <cx:binning intervalClosed="r"/>
          </cx:layoutPr>
        </cx:series>
        <cx:series layoutId="clusteredColumn" hidden="1" uniqueId="{F24A1F3C-3ACD-4980-944B-13384F6CBA65}" formatIdx="2">
          <cx:dataLabels>
            <cx:visibility seriesName="0" categoryName="0" value="1"/>
          </cx:dataLabels>
          <cx:dataId val="2"/>
          <cx:layoutPr>
            <cx:binning intervalClosed="r"/>
          </cx:layoutPr>
        </cx:series>
        <cx:series layoutId="clusteredColumn" hidden="1" uniqueId="{60DB4168-EDDF-4D91-AF84-9FC5D67F1DF6}" formatIdx="3">
          <cx:dataLabels>
            <cx:visibility seriesName="0" categoryName="0" value="1"/>
          </cx:dataLabels>
          <cx:dataId val="3"/>
          <cx:layoutPr>
            <cx:binning intervalClosed="r"/>
          </cx:layoutPr>
        </cx:series>
        <cx:series layoutId="clusteredColumn" hidden="1" uniqueId="{A0506C1F-C450-4DA4-B9E5-B0FA488C9C36}" formatIdx="4">
          <cx:dataLabels>
            <cx:visibility seriesName="0" categoryName="0" value="1"/>
          </cx:dataLabels>
          <cx:dataId val="4"/>
          <cx:layoutPr>
            <cx:binning intervalClosed="r"/>
          </cx:layoutPr>
        </cx:series>
        <cx:series layoutId="clusteredColumn" hidden="1" uniqueId="{23750BA3-0AF6-41C3-97FB-7EB21A64BBD2}" formatIdx="5">
          <cx:dataLabels>
            <cx:visibility seriesName="0" categoryName="0" value="1"/>
          </cx:dataLabels>
          <cx:dataId val="5"/>
          <cx:layoutPr>
            <cx:binning intervalClosed="r"/>
          </cx:layoutPr>
        </cx:series>
        <cx:series layoutId="clusteredColumn" hidden="1" uniqueId="{4C0B616A-A4D0-45BA-9DAD-A4A9A6FFBDC8}" formatIdx="6">
          <cx:dataLabels>
            <cx:visibility seriesName="0" categoryName="0" value="1"/>
          </cx:dataLabels>
          <cx:dataId val="6"/>
          <cx:layoutPr>
            <cx:binning intervalClosed="r"/>
          </cx:layoutPr>
        </cx:series>
        <cx:series layoutId="clusteredColumn" hidden="1" uniqueId="{05E48479-1B34-4C70-AAB8-BCF015D4D1EB}" formatIdx="7">
          <cx:dataLabels>
            <cx:visibility seriesName="0" categoryName="0" value="1"/>
          </cx:dataLabels>
          <cx:dataId val="7"/>
          <cx:layoutPr>
            <cx:binning intervalClosed="r"/>
          </cx:layoutPr>
        </cx:series>
        <cx:series layoutId="clusteredColumn" hidden="1" uniqueId="{C229F505-F4A1-4D7F-A31F-A3948262E65F}" formatIdx="8">
          <cx:dataLabels>
            <cx:visibility seriesName="0" categoryName="0" value="1"/>
          </cx:dataLabels>
          <cx:dataId val="8"/>
          <cx:layoutPr>
            <cx:binning intervalClosed="r"/>
          </cx:layoutPr>
        </cx:series>
        <cx:series layoutId="clusteredColumn" hidden="1" uniqueId="{1E58D085-4980-4125-B5AA-D6B9DE50AE73}" formatIdx="9">
          <cx:dataLabels>
            <cx:visibility seriesName="0" categoryName="0" value="1"/>
          </cx:dataLabels>
          <cx:dataId val="9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Ratings</cx:v>
            </cx:txData>
          </cx:tx>
          <cx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Ratings</a:t>
              </a:r>
            </a:p>
          </cx:txPr>
        </cx:title>
        <cx:tickLabels/>
        <cx:numFmt formatCode="General" sourceLinked="0"/>
      </cx:axis>
      <cx:axis id="1">
        <cx:valScaling/>
        <cx:title>
          <cx:tx>
            <cx:txData>
              <cx:v>Frequency </cx:v>
            </cx:txData>
          </cx:tx>
          <cx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IN"/>
                <a:t>Frequency </a:t>
              </a:r>
            </a:p>
          </cx:txPr>
        </cx:title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D03FB7B7-96BE-46A2-90CB-33EC873EF855}">
          <cx:dataLabels pos="inEnd">
            <cx:visibility seriesName="0" categoryName="0" value="1"/>
          </cx:dataLabels>
          <cx:dataId val="0"/>
          <cx:layoutPr>
            <cx:binning intervalClosed="r">
              <cx:binSize val="3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</cx:f>
      </cx:numDim>
    </cx:data>
    <cx:data id="1">
      <cx:numDim type="val">
        <cx:f dir="row">_xlchart.v1.3</cx:f>
      </cx:numDim>
    </cx:data>
  </cx:chartData>
  <cx:chart>
    <cx:title pos="t" align="ctr" overlay="0">
      <cx:tx>
        <cx:txData>
          <cx:v>Frequency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Frequency</a:t>
          </a:r>
        </a:p>
      </cx:txPr>
    </cx:title>
    <cx:plotArea>
      <cx:plotAreaRegion>
        <cx:series layoutId="clusteredColumn" uniqueId="{A38EAFB2-0EB1-4BCA-A47C-7052D8A91AD0}" formatIdx="0">
          <cx:tx>
            <cx:txData>
              <cx:f>_xlchart.v1.0</cx:f>
              <cx:v>Time</cx:v>
            </cx:txData>
          </cx:tx>
          <cx:dataId val="0"/>
          <cx:layoutPr>
            <cx:binning intervalClosed="r">
              <cx:binSize val="9.9000000000000004"/>
            </cx:binning>
          </cx:layoutPr>
        </cx:series>
        <cx:series layoutId="clusteredColumn" hidden="1" uniqueId="{1A79CA0E-4EE6-4792-B285-657312EF41F6}" formatIdx="1">
          <cx:tx>
            <cx:txData>
              <cx:f>_xlchart.v1.1</cx:f>
              <cx:v>Frequncy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microsoft.com/office/2014/relationships/chartEx" Target="../charts/chartEx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microsoft.com/office/2014/relationships/chartEx" Target="../charts/chartEx1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297</xdr:row>
      <xdr:rowOff>179070</xdr:rowOff>
    </xdr:from>
    <xdr:to>
      <xdr:col>8</xdr:col>
      <xdr:colOff>22860</xdr:colOff>
      <xdr:row>312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A157C-FFC6-3CA9-2DCC-5FA926493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320</xdr:row>
      <xdr:rowOff>171450</xdr:rowOff>
    </xdr:from>
    <xdr:to>
      <xdr:col>9</xdr:col>
      <xdr:colOff>53340</xdr:colOff>
      <xdr:row>335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556B6E-6734-3CDB-9D31-F858BD7D8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389</xdr:row>
      <xdr:rowOff>179070</xdr:rowOff>
    </xdr:from>
    <xdr:to>
      <xdr:col>8</xdr:col>
      <xdr:colOff>7620</xdr:colOff>
      <xdr:row>404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3B61C8-2721-10DF-1836-E3149B78A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739140</xdr:colOff>
      <xdr:row>365</xdr:row>
      <xdr:rowOff>171450</xdr:rowOff>
    </xdr:from>
    <xdr:to>
      <xdr:col>8</xdr:col>
      <xdr:colOff>7620</xdr:colOff>
      <xdr:row>380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1A1ECAED-5D5A-6069-47D8-C82383B2D3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140" y="66968370"/>
              <a:ext cx="46634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748747</xdr:colOff>
      <xdr:row>480</xdr:row>
      <xdr:rowOff>3314</xdr:rowOff>
    </xdr:from>
    <xdr:to>
      <xdr:col>7</xdr:col>
      <xdr:colOff>828260</xdr:colOff>
      <xdr:row>494</xdr:row>
      <xdr:rowOff>149088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E61B41A-927C-26EC-975A-7E99D215AA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8747" y="87831434"/>
              <a:ext cx="4643893" cy="2706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6625</xdr:colOff>
      <xdr:row>503</xdr:row>
      <xdr:rowOff>168966</xdr:rowOff>
    </xdr:from>
    <xdr:to>
      <xdr:col>7</xdr:col>
      <xdr:colOff>815008</xdr:colOff>
      <xdr:row>518</xdr:row>
      <xdr:rowOff>129210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20764A-5D00-C3EF-7B24-45553E9AD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742121</xdr:colOff>
      <xdr:row>548</xdr:row>
      <xdr:rowOff>3313</xdr:rowOff>
    </xdr:from>
    <xdr:to>
      <xdr:col>8</xdr:col>
      <xdr:colOff>0</xdr:colOff>
      <xdr:row>562</xdr:row>
      <xdr:rowOff>149086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E15E45E-4C93-049E-989E-9958FBF8DF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121" y="100267273"/>
              <a:ext cx="4652839" cy="27060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748747</xdr:colOff>
      <xdr:row>570</xdr:row>
      <xdr:rowOff>168966</xdr:rowOff>
    </xdr:from>
    <xdr:to>
      <xdr:col>7</xdr:col>
      <xdr:colOff>821634</xdr:colOff>
      <xdr:row>585</xdr:row>
      <xdr:rowOff>129209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C90F34F-41E0-0744-1205-FC8E00C49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735496</xdr:colOff>
      <xdr:row>601</xdr:row>
      <xdr:rowOff>182218</xdr:rowOff>
    </xdr:from>
    <xdr:to>
      <xdr:col>7</xdr:col>
      <xdr:colOff>742122</xdr:colOff>
      <xdr:row>616</xdr:row>
      <xdr:rowOff>142461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75DD5FB-1573-4669-02DD-EEB0CAE00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05AB-990A-4C18-A8CD-109D3EF60784}">
  <dimension ref="A1:Y632"/>
  <sheetViews>
    <sheetView topLeftCell="A310" zoomScale="115" zoomScaleNormal="100" workbookViewId="0">
      <selection activeCell="M310" sqref="M310"/>
    </sheetView>
  </sheetViews>
  <sheetFormatPr defaultRowHeight="14.4" x14ac:dyDescent="0.3"/>
  <cols>
    <col min="1" max="1" width="10.88671875" bestFit="1" customWidth="1"/>
    <col min="2" max="2" width="10.5546875" customWidth="1"/>
    <col min="3" max="3" width="9.5546875" bestFit="1" customWidth="1"/>
    <col min="8" max="8" width="12.109375" customWidth="1"/>
    <col min="13" max="13" width="15" customWidth="1"/>
  </cols>
  <sheetData>
    <row r="1" spans="1:17" x14ac:dyDescent="0.3">
      <c r="A1" s="35" t="s">
        <v>318</v>
      </c>
      <c r="B1" s="35"/>
      <c r="C1" s="35"/>
    </row>
    <row r="2" spans="1:17" ht="18" customHeight="1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4" spans="1:17" x14ac:dyDescent="0.3">
      <c r="A4" s="1" t="s">
        <v>1</v>
      </c>
    </row>
    <row r="6" spans="1:17" x14ac:dyDescent="0.3">
      <c r="A6" s="37" t="s">
        <v>2</v>
      </c>
      <c r="B6" s="37"/>
      <c r="C6" s="37"/>
      <c r="D6" s="37"/>
      <c r="E6" s="37"/>
      <c r="F6" s="37"/>
      <c r="G6" s="37"/>
      <c r="H6" s="37"/>
      <c r="I6" s="37"/>
    </row>
    <row r="8" spans="1:17" x14ac:dyDescent="0.3">
      <c r="A8" s="5" t="s">
        <v>3</v>
      </c>
      <c r="B8" s="5">
        <v>50</v>
      </c>
      <c r="C8" s="5" t="s">
        <v>4</v>
      </c>
    </row>
    <row r="9" spans="1:17" x14ac:dyDescent="0.3">
      <c r="A9" s="5" t="s">
        <v>5</v>
      </c>
      <c r="B9" s="5">
        <v>60</v>
      </c>
      <c r="C9" s="5" t="s">
        <v>4</v>
      </c>
    </row>
    <row r="10" spans="1:17" x14ac:dyDescent="0.3">
      <c r="A10" s="5" t="s">
        <v>6</v>
      </c>
      <c r="B10" s="5">
        <v>55</v>
      </c>
      <c r="C10" s="5" t="s">
        <v>4</v>
      </c>
    </row>
    <row r="11" spans="1:17" x14ac:dyDescent="0.3">
      <c r="A11" s="5" t="s">
        <v>7</v>
      </c>
      <c r="B11" s="5">
        <v>70</v>
      </c>
      <c r="C11" s="5" t="s">
        <v>4</v>
      </c>
    </row>
    <row r="13" spans="1:17" x14ac:dyDescent="0.3">
      <c r="A13" s="34" t="s">
        <v>8</v>
      </c>
      <c r="B13" s="34"/>
      <c r="C13" s="34"/>
      <c r="D13" s="34"/>
      <c r="E13" s="34"/>
      <c r="F13" s="34"/>
      <c r="G13" s="34"/>
    </row>
    <row r="15" spans="1:17" x14ac:dyDescent="0.3">
      <c r="A15" s="2" t="s">
        <v>9</v>
      </c>
      <c r="B15" s="11">
        <f>AVERAGE(B8:B11)</f>
        <v>58.75</v>
      </c>
    </row>
    <row r="17" spans="1:16" x14ac:dyDescent="0.3">
      <c r="A17" s="34" t="s">
        <v>10</v>
      </c>
      <c r="B17" s="34"/>
      <c r="C17" s="34"/>
      <c r="D17" s="34"/>
      <c r="E17" s="34"/>
      <c r="F17" s="34"/>
      <c r="G17" s="34"/>
      <c r="H17" s="34"/>
    </row>
    <row r="19" spans="1:16" x14ac:dyDescent="0.3">
      <c r="A19" s="2" t="s">
        <v>11</v>
      </c>
      <c r="B19" s="11">
        <f>MEDIAN(F19:F22)</f>
        <v>57.5</v>
      </c>
      <c r="F19">
        <v>50</v>
      </c>
    </row>
    <row r="20" spans="1:16" x14ac:dyDescent="0.3">
      <c r="F20">
        <v>55</v>
      </c>
    </row>
    <row r="21" spans="1:16" x14ac:dyDescent="0.3">
      <c r="F21">
        <v>60</v>
      </c>
    </row>
    <row r="22" spans="1:16" x14ac:dyDescent="0.3">
      <c r="F22">
        <v>70</v>
      </c>
    </row>
    <row r="24" spans="1:16" x14ac:dyDescent="0.3">
      <c r="A24" s="34" t="s">
        <v>12</v>
      </c>
      <c r="B24" s="34"/>
      <c r="C24" s="34"/>
      <c r="D24" s="34"/>
      <c r="E24" s="34"/>
      <c r="F24" s="34"/>
      <c r="G24" s="34"/>
      <c r="H24" s="34"/>
      <c r="I24" s="34"/>
      <c r="J24" s="34"/>
    </row>
    <row r="26" spans="1:16" x14ac:dyDescent="0.3">
      <c r="A26" s="2" t="s">
        <v>13</v>
      </c>
      <c r="B26" s="11" t="s">
        <v>14</v>
      </c>
    </row>
    <row r="28" spans="1:16" x14ac:dyDescent="0.3">
      <c r="A28" s="34" t="s">
        <v>15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30" spans="1:16" x14ac:dyDescent="0.3">
      <c r="A30" t="s">
        <v>1</v>
      </c>
    </row>
    <row r="32" spans="1:16" x14ac:dyDescent="0.3">
      <c r="A32" s="37" t="s">
        <v>16</v>
      </c>
      <c r="B32" s="37"/>
      <c r="C32" s="37"/>
      <c r="D32" s="37"/>
      <c r="E32" s="37"/>
      <c r="F32" s="37"/>
      <c r="G32" s="37"/>
    </row>
    <row r="34" spans="1:8" x14ac:dyDescent="0.3">
      <c r="A34" s="5">
        <v>15</v>
      </c>
      <c r="B34" s="5">
        <v>10</v>
      </c>
      <c r="C34" s="5">
        <v>10</v>
      </c>
      <c r="D34" s="5">
        <v>15</v>
      </c>
    </row>
    <row r="35" spans="1:8" x14ac:dyDescent="0.3">
      <c r="A35" s="5">
        <v>10</v>
      </c>
      <c r="B35" s="5">
        <v>30</v>
      </c>
      <c r="C35" s="5">
        <v>25</v>
      </c>
      <c r="D35" s="5">
        <v>10</v>
      </c>
    </row>
    <row r="36" spans="1:8" x14ac:dyDescent="0.3">
      <c r="A36" s="5">
        <v>20</v>
      </c>
      <c r="B36" s="5">
        <v>20</v>
      </c>
      <c r="C36" s="5">
        <v>15</v>
      </c>
      <c r="D36" s="5">
        <v>10</v>
      </c>
    </row>
    <row r="37" spans="1:8" x14ac:dyDescent="0.3">
      <c r="A37" s="5">
        <v>25</v>
      </c>
      <c r="B37" s="5">
        <v>15</v>
      </c>
      <c r="C37" s="5">
        <v>20</v>
      </c>
      <c r="D37" s="5">
        <v>20</v>
      </c>
    </row>
    <row r="38" spans="1:8" x14ac:dyDescent="0.3">
      <c r="A38" s="5">
        <v>15</v>
      </c>
      <c r="B38" s="5">
        <v>10</v>
      </c>
      <c r="C38" s="5">
        <v>20</v>
      </c>
      <c r="D38" s="5">
        <v>25</v>
      </c>
    </row>
    <row r="41" spans="1:8" x14ac:dyDescent="0.3">
      <c r="A41" t="s">
        <v>17</v>
      </c>
    </row>
    <row r="43" spans="1:8" x14ac:dyDescent="0.3">
      <c r="A43" s="34" t="s">
        <v>18</v>
      </c>
      <c r="B43" s="34"/>
      <c r="C43" s="34"/>
      <c r="D43" s="34"/>
      <c r="E43" s="34"/>
      <c r="F43" s="34"/>
      <c r="G43" s="34"/>
    </row>
    <row r="45" spans="1:8" x14ac:dyDescent="0.3">
      <c r="A45" s="2" t="s">
        <v>9</v>
      </c>
      <c r="B45" s="11">
        <f>AVERAGE(A34:D38)</f>
        <v>17</v>
      </c>
      <c r="C45" s="3" t="s">
        <v>19</v>
      </c>
    </row>
    <row r="47" spans="1:8" x14ac:dyDescent="0.3">
      <c r="A47" s="34" t="s">
        <v>20</v>
      </c>
      <c r="B47" s="34"/>
      <c r="C47" s="34"/>
      <c r="D47" s="34"/>
      <c r="E47" s="34"/>
      <c r="F47" s="34"/>
      <c r="G47" s="34"/>
      <c r="H47" s="34"/>
    </row>
    <row r="49" spans="1:18" x14ac:dyDescent="0.3">
      <c r="A49" s="2" t="s">
        <v>21</v>
      </c>
      <c r="B49" s="11">
        <f>MEDIAN(A34:D38)</f>
        <v>15</v>
      </c>
      <c r="C49" s="3" t="s">
        <v>19</v>
      </c>
    </row>
    <row r="51" spans="1:18" x14ac:dyDescent="0.3">
      <c r="A51" s="34" t="s">
        <v>22</v>
      </c>
      <c r="B51" s="34"/>
      <c r="C51" s="34"/>
      <c r="D51" s="34"/>
      <c r="E51" s="34"/>
      <c r="F51" s="34"/>
      <c r="G51" s="34"/>
      <c r="H51" s="34"/>
      <c r="I51" s="34"/>
    </row>
    <row r="53" spans="1:18" x14ac:dyDescent="0.3">
      <c r="A53" s="2" t="s">
        <v>23</v>
      </c>
      <c r="B53" s="2" t="s">
        <v>24</v>
      </c>
      <c r="C53" s="11">
        <f>MODE(A34:D38)</f>
        <v>10</v>
      </c>
      <c r="D53" s="3" t="s">
        <v>19</v>
      </c>
    </row>
    <row r="55" spans="1:18" x14ac:dyDescent="0.3">
      <c r="A55" s="2" t="s">
        <v>25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7" spans="1:18" x14ac:dyDescent="0.3">
      <c r="A57" t="s">
        <v>1</v>
      </c>
    </row>
    <row r="59" spans="1:18" x14ac:dyDescent="0.3">
      <c r="A59" s="37" t="s">
        <v>26</v>
      </c>
      <c r="B59" s="37"/>
      <c r="C59" s="37"/>
      <c r="D59" s="37"/>
      <c r="E59" s="37"/>
      <c r="F59" s="37"/>
      <c r="G59" s="37"/>
    </row>
    <row r="61" spans="1:18" x14ac:dyDescent="0.3">
      <c r="A61" s="5">
        <v>3</v>
      </c>
      <c r="B61" s="5">
        <v>2</v>
      </c>
      <c r="C61" s="5">
        <v>5</v>
      </c>
      <c r="D61" s="5">
        <v>4</v>
      </c>
      <c r="E61" s="5">
        <v>7</v>
      </c>
      <c r="F61" s="5">
        <v>2</v>
      </c>
      <c r="G61" s="5">
        <v>3</v>
      </c>
      <c r="H61" s="5">
        <v>3</v>
      </c>
      <c r="I61" s="5">
        <v>1</v>
      </c>
      <c r="J61" s="5">
        <v>6</v>
      </c>
    </row>
    <row r="62" spans="1:18" x14ac:dyDescent="0.3">
      <c r="A62" s="5">
        <v>4</v>
      </c>
      <c r="B62" s="5">
        <v>2</v>
      </c>
      <c r="C62" s="5">
        <v>3</v>
      </c>
      <c r="D62" s="5">
        <v>5</v>
      </c>
      <c r="E62" s="5">
        <v>2</v>
      </c>
      <c r="F62" s="5">
        <v>4</v>
      </c>
      <c r="G62" s="5">
        <v>2</v>
      </c>
      <c r="H62" s="5">
        <v>1</v>
      </c>
      <c r="I62" s="5">
        <v>3</v>
      </c>
      <c r="J62" s="5">
        <v>5</v>
      </c>
    </row>
    <row r="63" spans="1:18" x14ac:dyDescent="0.3">
      <c r="A63" s="5">
        <v>6</v>
      </c>
      <c r="B63" s="5">
        <v>3</v>
      </c>
      <c r="C63" s="5">
        <v>2</v>
      </c>
      <c r="D63" s="5">
        <v>1</v>
      </c>
      <c r="E63" s="5">
        <v>4</v>
      </c>
      <c r="F63" s="5">
        <v>2</v>
      </c>
      <c r="G63" s="5">
        <v>4</v>
      </c>
      <c r="H63" s="5">
        <v>5</v>
      </c>
      <c r="I63" s="5">
        <v>3</v>
      </c>
      <c r="J63" s="5">
        <v>2</v>
      </c>
    </row>
    <row r="64" spans="1:18" x14ac:dyDescent="0.3">
      <c r="A64" s="5">
        <v>7</v>
      </c>
      <c r="B64" s="5">
        <v>2</v>
      </c>
      <c r="C64" s="5">
        <v>3</v>
      </c>
      <c r="D64" s="5">
        <v>4</v>
      </c>
      <c r="E64" s="5">
        <v>5</v>
      </c>
      <c r="F64" s="5">
        <v>1</v>
      </c>
      <c r="G64" s="5">
        <v>6</v>
      </c>
      <c r="H64" s="5">
        <v>2</v>
      </c>
      <c r="I64" s="5">
        <v>4</v>
      </c>
      <c r="J64" s="5">
        <v>3</v>
      </c>
    </row>
    <row r="65" spans="1:10" x14ac:dyDescent="0.3">
      <c r="A65" s="5">
        <v>5</v>
      </c>
      <c r="B65" s="5">
        <v>3</v>
      </c>
      <c r="C65" s="5">
        <v>2</v>
      </c>
      <c r="D65" s="5">
        <v>4</v>
      </c>
      <c r="E65" s="5">
        <v>2</v>
      </c>
      <c r="F65" s="5">
        <v>6</v>
      </c>
      <c r="G65" s="5">
        <v>3</v>
      </c>
      <c r="H65" s="5">
        <v>2</v>
      </c>
      <c r="I65" s="5">
        <v>4</v>
      </c>
      <c r="J65" s="5">
        <v>5</v>
      </c>
    </row>
    <row r="67" spans="1:10" x14ac:dyDescent="0.3">
      <c r="A67" t="s">
        <v>17</v>
      </c>
    </row>
    <row r="69" spans="1:10" x14ac:dyDescent="0.3">
      <c r="A69" s="34" t="s">
        <v>27</v>
      </c>
      <c r="B69" s="34"/>
      <c r="C69" s="34"/>
      <c r="D69" s="34"/>
      <c r="E69" s="34"/>
      <c r="F69" s="34"/>
      <c r="G69" s="34"/>
      <c r="H69" s="34"/>
    </row>
    <row r="71" spans="1:10" x14ac:dyDescent="0.3">
      <c r="A71" s="2" t="s">
        <v>28</v>
      </c>
      <c r="B71" s="11">
        <f>AVERAGE(A61:J65)</f>
        <v>3.44</v>
      </c>
      <c r="C71" s="3" t="s">
        <v>29</v>
      </c>
    </row>
    <row r="73" spans="1:10" x14ac:dyDescent="0.3">
      <c r="A73" s="34" t="s">
        <v>30</v>
      </c>
      <c r="B73" s="34"/>
      <c r="C73" s="34"/>
      <c r="D73" s="34"/>
      <c r="E73" s="34"/>
      <c r="F73" s="34"/>
      <c r="G73" s="34"/>
      <c r="H73" s="34"/>
    </row>
    <row r="75" spans="1:10" x14ac:dyDescent="0.3">
      <c r="A75" s="2" t="s">
        <v>21</v>
      </c>
      <c r="B75" s="11">
        <f>MEDIAN(A61:J65)</f>
        <v>3</v>
      </c>
      <c r="C75" s="3" t="s">
        <v>29</v>
      </c>
    </row>
    <row r="77" spans="1:10" x14ac:dyDescent="0.3">
      <c r="A77" s="34" t="s">
        <v>31</v>
      </c>
      <c r="B77" s="34"/>
      <c r="C77" s="34"/>
      <c r="D77" s="34"/>
      <c r="E77" s="34"/>
      <c r="F77" s="34"/>
      <c r="G77" s="34"/>
      <c r="H77" s="34"/>
      <c r="I77" s="34"/>
    </row>
    <row r="79" spans="1:10" x14ac:dyDescent="0.3">
      <c r="A79" s="2" t="s">
        <v>23</v>
      </c>
      <c r="B79" s="2" t="s">
        <v>24</v>
      </c>
      <c r="C79" s="11">
        <f>MODE(A61:J65)</f>
        <v>2</v>
      </c>
      <c r="D79" s="4" t="s">
        <v>29</v>
      </c>
    </row>
    <row r="81" spans="1:13" x14ac:dyDescent="0.3">
      <c r="A81" s="34" t="s">
        <v>32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3" spans="1:13" x14ac:dyDescent="0.3">
      <c r="A83" t="s">
        <v>1</v>
      </c>
    </row>
    <row r="85" spans="1:13" x14ac:dyDescent="0.3">
      <c r="A85" s="37" t="s">
        <v>33</v>
      </c>
      <c r="B85" s="37"/>
      <c r="C85" s="37"/>
      <c r="D85" s="37"/>
      <c r="E85" s="37"/>
      <c r="F85" s="37"/>
      <c r="G85" s="37"/>
      <c r="H85" s="37"/>
    </row>
    <row r="87" spans="1:13" x14ac:dyDescent="0.3">
      <c r="A87" s="6">
        <v>120</v>
      </c>
      <c r="B87" s="6">
        <v>150</v>
      </c>
      <c r="C87" s="6">
        <v>110</v>
      </c>
      <c r="D87" s="6">
        <v>135</v>
      </c>
      <c r="E87" s="6">
        <v>125</v>
      </c>
      <c r="F87" s="6">
        <v>140</v>
      </c>
      <c r="G87" s="6">
        <v>130</v>
      </c>
      <c r="H87" s="6">
        <v>155</v>
      </c>
      <c r="I87" s="6">
        <v>115</v>
      </c>
      <c r="J87" s="6">
        <v>145</v>
      </c>
      <c r="K87" s="6">
        <v>135</v>
      </c>
      <c r="L87" s="6">
        <v>130</v>
      </c>
    </row>
    <row r="89" spans="1:13" x14ac:dyDescent="0.3">
      <c r="A89" t="s">
        <v>34</v>
      </c>
    </row>
    <row r="91" spans="1:13" x14ac:dyDescent="0.3">
      <c r="A91" s="34" t="s">
        <v>35</v>
      </c>
      <c r="B91" s="34"/>
      <c r="C91" s="34"/>
      <c r="D91" s="34"/>
      <c r="E91" s="34"/>
      <c r="F91" s="34"/>
      <c r="G91" s="34"/>
      <c r="H91" s="34"/>
    </row>
    <row r="93" spans="1:13" x14ac:dyDescent="0.3">
      <c r="A93" s="2" t="s">
        <v>28</v>
      </c>
      <c r="B93" s="14">
        <f>AVERAGE(A87:L87)</f>
        <v>132.5</v>
      </c>
    </row>
    <row r="95" spans="1:13" x14ac:dyDescent="0.3">
      <c r="A95" s="34" t="s">
        <v>36</v>
      </c>
      <c r="B95" s="34"/>
      <c r="C95" s="34"/>
      <c r="D95" s="34"/>
      <c r="E95" s="34"/>
      <c r="F95" s="34"/>
      <c r="G95" s="34"/>
      <c r="H95" s="34"/>
    </row>
    <row r="97" spans="1:13" x14ac:dyDescent="0.3">
      <c r="A97" s="34" t="s">
        <v>37</v>
      </c>
      <c r="B97" s="34"/>
      <c r="C97" s="13">
        <f>MAX(H87)-MIN(C87)</f>
        <v>45</v>
      </c>
    </row>
    <row r="99" spans="1:13" x14ac:dyDescent="0.3">
      <c r="A99" s="34" t="s">
        <v>38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1" spans="1:13" x14ac:dyDescent="0.3">
      <c r="A101" t="s">
        <v>1</v>
      </c>
    </row>
    <row r="103" spans="1:13" x14ac:dyDescent="0.3">
      <c r="A103" s="37" t="s">
        <v>39</v>
      </c>
      <c r="B103" s="34"/>
      <c r="C103" s="34"/>
      <c r="D103" s="34"/>
      <c r="E103" s="34"/>
      <c r="F103" s="34"/>
    </row>
    <row r="105" spans="1:13" x14ac:dyDescent="0.3">
      <c r="A105" s="5">
        <v>8</v>
      </c>
      <c r="B105" s="5">
        <v>7</v>
      </c>
      <c r="C105" s="5">
        <v>9</v>
      </c>
      <c r="D105" s="5">
        <v>6</v>
      </c>
      <c r="E105" s="5">
        <v>7</v>
      </c>
      <c r="F105" s="5">
        <v>8</v>
      </c>
      <c r="G105" s="5">
        <v>9</v>
      </c>
      <c r="H105" s="5">
        <v>8</v>
      </c>
      <c r="I105" s="5">
        <v>7</v>
      </c>
      <c r="J105" s="5">
        <v>6</v>
      </c>
    </row>
    <row r="106" spans="1:13" x14ac:dyDescent="0.3">
      <c r="A106" s="5">
        <v>8</v>
      </c>
      <c r="B106" s="5">
        <v>9</v>
      </c>
      <c r="C106" s="5">
        <v>7</v>
      </c>
      <c r="D106" s="5">
        <v>8</v>
      </c>
      <c r="E106" s="5">
        <v>7</v>
      </c>
      <c r="F106" s="5">
        <v>6</v>
      </c>
      <c r="G106" s="5">
        <v>8</v>
      </c>
      <c r="H106" s="5">
        <v>9</v>
      </c>
      <c r="I106" s="5">
        <v>6</v>
      </c>
      <c r="J106" s="5">
        <v>7</v>
      </c>
    </row>
    <row r="107" spans="1:13" x14ac:dyDescent="0.3">
      <c r="A107" s="5">
        <v>8</v>
      </c>
      <c r="B107" s="5">
        <v>9</v>
      </c>
      <c r="C107" s="5">
        <v>7</v>
      </c>
      <c r="D107" s="5">
        <v>6</v>
      </c>
      <c r="E107" s="5">
        <v>7</v>
      </c>
      <c r="F107" s="5">
        <v>8</v>
      </c>
      <c r="G107" s="5">
        <v>9</v>
      </c>
      <c r="H107" s="5">
        <v>8</v>
      </c>
      <c r="I107" s="5">
        <v>7</v>
      </c>
      <c r="J107" s="5">
        <v>6</v>
      </c>
    </row>
    <row r="108" spans="1:13" x14ac:dyDescent="0.3">
      <c r="A108" s="5">
        <v>9</v>
      </c>
      <c r="B108" s="5">
        <v>8</v>
      </c>
      <c r="C108" s="5">
        <v>7</v>
      </c>
      <c r="D108" s="5">
        <v>6</v>
      </c>
      <c r="E108" s="5">
        <v>8</v>
      </c>
      <c r="F108" s="5">
        <v>9</v>
      </c>
      <c r="G108" s="5">
        <v>7</v>
      </c>
      <c r="H108" s="5">
        <v>8</v>
      </c>
      <c r="I108" s="5">
        <v>7</v>
      </c>
      <c r="J108" s="5">
        <v>6</v>
      </c>
    </row>
    <row r="109" spans="1:13" x14ac:dyDescent="0.3">
      <c r="A109" s="5">
        <v>9</v>
      </c>
      <c r="B109" s="5">
        <v>8</v>
      </c>
      <c r="C109" s="5">
        <v>7</v>
      </c>
      <c r="D109" s="5">
        <v>6</v>
      </c>
      <c r="E109" s="5">
        <v>7</v>
      </c>
      <c r="F109" s="5">
        <v>8</v>
      </c>
      <c r="G109" s="5">
        <v>9</v>
      </c>
      <c r="H109" s="5">
        <v>8</v>
      </c>
      <c r="I109" s="5">
        <v>7</v>
      </c>
      <c r="J109" s="5">
        <v>6</v>
      </c>
    </row>
    <row r="111" spans="1:13" x14ac:dyDescent="0.3">
      <c r="A111" t="s">
        <v>34</v>
      </c>
    </row>
    <row r="113" spans="1:13" x14ac:dyDescent="0.3">
      <c r="A113" s="34" t="s">
        <v>40</v>
      </c>
      <c r="B113" s="34"/>
      <c r="C113" s="34"/>
      <c r="D113" s="34"/>
      <c r="E113" s="34"/>
      <c r="F113" s="34"/>
      <c r="G113" s="34"/>
    </row>
    <row r="115" spans="1:13" x14ac:dyDescent="0.3">
      <c r="A115" s="2" t="s">
        <v>28</v>
      </c>
      <c r="B115" s="11">
        <f>AVERAGE(A105:J109)</f>
        <v>7.5</v>
      </c>
    </row>
    <row r="117" spans="1:13" x14ac:dyDescent="0.3">
      <c r="A117" s="34" t="s">
        <v>41</v>
      </c>
      <c r="B117" s="34"/>
      <c r="C117" s="34"/>
      <c r="D117" s="34"/>
      <c r="E117" s="34"/>
      <c r="F117" s="34"/>
      <c r="G117" s="34"/>
      <c r="H117" s="34"/>
    </row>
    <row r="119" spans="1:13" x14ac:dyDescent="0.3">
      <c r="A119" s="2" t="s">
        <v>42</v>
      </c>
      <c r="B119" s="12">
        <f>STDEV(A105:J109)</f>
        <v>1.0350983390135313</v>
      </c>
    </row>
    <row r="121" spans="1:13" x14ac:dyDescent="0.3">
      <c r="A121" s="34" t="s">
        <v>43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</row>
    <row r="123" spans="1:13" x14ac:dyDescent="0.3">
      <c r="A123" t="s">
        <v>1</v>
      </c>
    </row>
    <row r="125" spans="1:13" x14ac:dyDescent="0.3">
      <c r="A125" s="37" t="s">
        <v>51</v>
      </c>
      <c r="B125" s="34"/>
      <c r="C125" s="34"/>
      <c r="D125" s="34"/>
      <c r="E125" s="34"/>
      <c r="F125" s="34"/>
      <c r="G125" s="34"/>
      <c r="H125" s="34"/>
    </row>
    <row r="127" spans="1:13" x14ac:dyDescent="0.3">
      <c r="A127" s="37" t="s">
        <v>44</v>
      </c>
      <c r="B127" s="37"/>
    </row>
    <row r="129" spans="1:10" x14ac:dyDescent="0.3">
      <c r="A129" s="5">
        <v>10</v>
      </c>
      <c r="B129" s="5">
        <v>15</v>
      </c>
      <c r="C129" s="5">
        <v>12</v>
      </c>
      <c r="D129" s="5">
        <v>18</v>
      </c>
      <c r="E129" s="5">
        <v>20</v>
      </c>
      <c r="F129" s="5">
        <v>25</v>
      </c>
      <c r="G129" s="5">
        <v>8</v>
      </c>
      <c r="H129" s="5">
        <v>14</v>
      </c>
      <c r="I129" s="5">
        <v>16</v>
      </c>
      <c r="J129" s="5">
        <v>22</v>
      </c>
    </row>
    <row r="130" spans="1:10" x14ac:dyDescent="0.3">
      <c r="A130" s="5">
        <v>9</v>
      </c>
      <c r="B130" s="5">
        <v>17</v>
      </c>
      <c r="C130" s="5">
        <v>11</v>
      </c>
      <c r="D130" s="5">
        <v>13</v>
      </c>
      <c r="E130" s="5">
        <v>19</v>
      </c>
      <c r="F130" s="5">
        <v>23</v>
      </c>
      <c r="G130" s="5">
        <v>21</v>
      </c>
      <c r="H130" s="5">
        <v>16</v>
      </c>
      <c r="I130" s="5">
        <v>24</v>
      </c>
      <c r="J130" s="5">
        <v>27</v>
      </c>
    </row>
    <row r="131" spans="1:10" x14ac:dyDescent="0.3">
      <c r="A131" s="5">
        <v>13</v>
      </c>
      <c r="B131" s="5">
        <v>10</v>
      </c>
      <c r="C131" s="5">
        <v>18</v>
      </c>
      <c r="D131" s="5">
        <v>16</v>
      </c>
      <c r="E131" s="5">
        <v>12</v>
      </c>
      <c r="F131" s="5">
        <v>14</v>
      </c>
      <c r="G131" s="5">
        <v>19</v>
      </c>
      <c r="H131" s="5">
        <v>21</v>
      </c>
      <c r="I131" s="5">
        <v>11</v>
      </c>
      <c r="J131" s="5">
        <v>17</v>
      </c>
    </row>
    <row r="132" spans="1:10" x14ac:dyDescent="0.3">
      <c r="A132" s="5">
        <v>15</v>
      </c>
      <c r="B132" s="5">
        <v>20</v>
      </c>
      <c r="C132" s="5">
        <v>26</v>
      </c>
      <c r="D132" s="5">
        <v>13</v>
      </c>
      <c r="E132" s="5">
        <v>12</v>
      </c>
      <c r="F132" s="5">
        <v>14</v>
      </c>
      <c r="G132" s="5">
        <v>22</v>
      </c>
      <c r="H132" s="5">
        <v>19</v>
      </c>
      <c r="I132" s="5">
        <v>16</v>
      </c>
      <c r="J132" s="5">
        <v>11</v>
      </c>
    </row>
    <row r="133" spans="1:10" x14ac:dyDescent="0.3">
      <c r="A133" s="5">
        <v>25</v>
      </c>
      <c r="B133" s="5">
        <v>18</v>
      </c>
      <c r="C133" s="5">
        <v>16</v>
      </c>
      <c r="D133" s="5">
        <v>13</v>
      </c>
      <c r="E133" s="5">
        <v>21</v>
      </c>
      <c r="F133" s="5">
        <v>20</v>
      </c>
      <c r="G133" s="5">
        <v>15</v>
      </c>
      <c r="H133" s="5">
        <v>12</v>
      </c>
      <c r="I133" s="5">
        <v>19</v>
      </c>
      <c r="J133" s="5">
        <v>17</v>
      </c>
    </row>
    <row r="134" spans="1:10" x14ac:dyDescent="0.3">
      <c r="A134" s="5">
        <v>14</v>
      </c>
      <c r="B134" s="5">
        <v>16</v>
      </c>
      <c r="C134" s="5">
        <v>23</v>
      </c>
      <c r="D134" s="5">
        <v>18</v>
      </c>
      <c r="E134" s="5">
        <v>15</v>
      </c>
      <c r="F134" s="5">
        <v>11</v>
      </c>
      <c r="G134" s="5">
        <v>19</v>
      </c>
      <c r="H134" s="5">
        <v>22</v>
      </c>
      <c r="I134" s="5">
        <v>17</v>
      </c>
      <c r="J134" s="5">
        <v>12</v>
      </c>
    </row>
    <row r="135" spans="1:10" x14ac:dyDescent="0.3">
      <c r="A135" s="5">
        <v>16</v>
      </c>
      <c r="B135" s="5">
        <v>14</v>
      </c>
      <c r="C135" s="5">
        <v>18</v>
      </c>
      <c r="D135" s="5">
        <v>20</v>
      </c>
      <c r="E135" s="5">
        <v>25</v>
      </c>
      <c r="F135" s="5">
        <v>13</v>
      </c>
      <c r="G135" s="5">
        <v>11</v>
      </c>
      <c r="H135" s="5">
        <v>22</v>
      </c>
      <c r="I135" s="5">
        <v>19</v>
      </c>
      <c r="J135" s="5">
        <v>17</v>
      </c>
    </row>
    <row r="136" spans="1:10" x14ac:dyDescent="0.3">
      <c r="A136" s="5">
        <v>15</v>
      </c>
      <c r="B136" s="5">
        <v>16</v>
      </c>
      <c r="C136" s="5">
        <v>13</v>
      </c>
      <c r="D136" s="5">
        <v>14</v>
      </c>
      <c r="E136" s="5">
        <v>18</v>
      </c>
      <c r="F136" s="5">
        <v>20</v>
      </c>
      <c r="G136" s="5">
        <v>19</v>
      </c>
      <c r="H136" s="5">
        <v>21</v>
      </c>
      <c r="I136" s="5">
        <v>17</v>
      </c>
      <c r="J136" s="5">
        <v>12</v>
      </c>
    </row>
    <row r="137" spans="1:10" x14ac:dyDescent="0.3">
      <c r="A137" s="5">
        <v>15</v>
      </c>
      <c r="B137" s="5">
        <v>13</v>
      </c>
      <c r="C137" s="5">
        <v>16</v>
      </c>
      <c r="D137" s="5">
        <v>14</v>
      </c>
      <c r="E137" s="5">
        <v>22</v>
      </c>
      <c r="F137" s="5">
        <v>21</v>
      </c>
      <c r="G137" s="5">
        <v>19</v>
      </c>
      <c r="H137" s="5">
        <v>18</v>
      </c>
      <c r="I137" s="5">
        <v>16</v>
      </c>
      <c r="J137" s="5">
        <v>11</v>
      </c>
    </row>
    <row r="138" spans="1:10" x14ac:dyDescent="0.3">
      <c r="A138" s="5">
        <v>17</v>
      </c>
      <c r="B138" s="5">
        <v>14</v>
      </c>
      <c r="C138" s="5">
        <v>12</v>
      </c>
      <c r="D138" s="5">
        <v>20</v>
      </c>
      <c r="E138" s="5">
        <v>23</v>
      </c>
      <c r="F138" s="5">
        <v>19</v>
      </c>
      <c r="G138" s="5">
        <v>15</v>
      </c>
      <c r="H138" s="5">
        <v>16</v>
      </c>
      <c r="I138" s="5">
        <v>13</v>
      </c>
      <c r="J138" s="5">
        <v>18</v>
      </c>
    </row>
    <row r="140" spans="1:10" x14ac:dyDescent="0.3">
      <c r="A140" t="s">
        <v>34</v>
      </c>
    </row>
    <row r="142" spans="1:10" x14ac:dyDescent="0.3">
      <c r="A142" s="34" t="s">
        <v>45</v>
      </c>
      <c r="B142" s="34"/>
      <c r="C142" s="34"/>
      <c r="D142" s="34"/>
      <c r="E142" s="34"/>
      <c r="F142" s="34"/>
      <c r="G142" s="34"/>
      <c r="H142" s="34"/>
      <c r="I142" s="34"/>
    </row>
    <row r="144" spans="1:10" x14ac:dyDescent="0.3">
      <c r="A144" s="2" t="s">
        <v>28</v>
      </c>
      <c r="B144" s="11">
        <f>AVERAGE(A129:J138)</f>
        <v>16.739999999999998</v>
      </c>
      <c r="C144" s="3" t="s">
        <v>19</v>
      </c>
    </row>
    <row r="146" spans="1:14" x14ac:dyDescent="0.3">
      <c r="A146" s="34" t="s">
        <v>46</v>
      </c>
      <c r="B146" s="34"/>
      <c r="C146" s="34"/>
      <c r="D146" s="34"/>
      <c r="E146" s="34"/>
      <c r="F146" s="34"/>
      <c r="G146" s="34"/>
      <c r="H146" s="34"/>
      <c r="I146" s="34"/>
    </row>
    <row r="148" spans="1:14" x14ac:dyDescent="0.3">
      <c r="A148" s="34" t="s">
        <v>47</v>
      </c>
      <c r="B148" s="34"/>
      <c r="C148" s="11">
        <f>MAX(A129:J138)-MIN(A129:J138)</f>
        <v>19</v>
      </c>
    </row>
    <row r="150" spans="1:14" x14ac:dyDescent="0.3">
      <c r="A150" s="34" t="s">
        <v>48</v>
      </c>
      <c r="B150" s="34"/>
      <c r="C150" s="34"/>
      <c r="D150" s="34"/>
      <c r="E150" s="34"/>
      <c r="F150" s="34"/>
      <c r="G150" s="34"/>
      <c r="H150" s="34"/>
      <c r="I150" s="34"/>
      <c r="J150" s="34"/>
    </row>
    <row r="152" spans="1:14" x14ac:dyDescent="0.3">
      <c r="A152" s="2" t="s">
        <v>42</v>
      </c>
      <c r="B152" s="11">
        <f>STDEV(A129:J138)</f>
        <v>4.1429506881014673</v>
      </c>
    </row>
    <row r="154" spans="1:14" x14ac:dyDescent="0.3">
      <c r="A154" s="34" t="s">
        <v>49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</row>
    <row r="156" spans="1:14" x14ac:dyDescent="0.3">
      <c r="A156" t="s">
        <v>1</v>
      </c>
    </row>
    <row r="158" spans="1:14" x14ac:dyDescent="0.3">
      <c r="A158" s="37" t="s">
        <v>50</v>
      </c>
      <c r="B158" s="37"/>
      <c r="C158" s="37"/>
      <c r="D158" s="37"/>
      <c r="E158" s="37"/>
      <c r="F158" s="37"/>
      <c r="G158" s="37"/>
      <c r="H158" s="37"/>
    </row>
    <row r="160" spans="1:14" x14ac:dyDescent="0.3">
      <c r="A160" s="5" t="s">
        <v>52</v>
      </c>
      <c r="B160" s="5">
        <v>30</v>
      </c>
      <c r="C160" s="5">
        <v>32</v>
      </c>
      <c r="D160" s="5">
        <v>33</v>
      </c>
      <c r="E160" s="5">
        <v>28</v>
      </c>
      <c r="F160" s="5">
        <v>31</v>
      </c>
      <c r="G160" s="5">
        <v>30</v>
      </c>
      <c r="H160" s="5">
        <v>29</v>
      </c>
      <c r="I160" s="5">
        <v>30</v>
      </c>
      <c r="J160" s="5">
        <v>32</v>
      </c>
      <c r="K160" s="5">
        <v>31</v>
      </c>
    </row>
    <row r="161" spans="1:11" x14ac:dyDescent="0.3">
      <c r="A161" s="5" t="s">
        <v>53</v>
      </c>
      <c r="B161" s="5">
        <v>25</v>
      </c>
      <c r="C161" s="5">
        <v>27</v>
      </c>
      <c r="D161" s="5">
        <v>26</v>
      </c>
      <c r="E161" s="5">
        <v>23</v>
      </c>
      <c r="F161" s="5">
        <v>28</v>
      </c>
      <c r="G161" s="5">
        <v>24</v>
      </c>
      <c r="H161" s="5">
        <v>26</v>
      </c>
      <c r="I161" s="5">
        <v>25</v>
      </c>
      <c r="J161" s="5">
        <v>27</v>
      </c>
      <c r="K161" s="5">
        <v>28</v>
      </c>
    </row>
    <row r="162" spans="1:11" x14ac:dyDescent="0.3">
      <c r="A162" s="5" t="s">
        <v>54</v>
      </c>
      <c r="B162" s="5">
        <v>22</v>
      </c>
      <c r="C162" s="5">
        <v>23</v>
      </c>
      <c r="D162" s="5">
        <v>20</v>
      </c>
      <c r="E162" s="5">
        <v>25</v>
      </c>
      <c r="F162" s="5">
        <v>21</v>
      </c>
      <c r="G162" s="5">
        <v>24</v>
      </c>
      <c r="H162" s="5">
        <v>23</v>
      </c>
      <c r="I162" s="5">
        <v>22</v>
      </c>
      <c r="J162" s="5">
        <v>25</v>
      </c>
      <c r="K162" s="5">
        <v>24</v>
      </c>
    </row>
    <row r="163" spans="1:11" x14ac:dyDescent="0.3">
      <c r="A163" s="5" t="s">
        <v>55</v>
      </c>
      <c r="B163" s="5">
        <v>18</v>
      </c>
      <c r="C163" s="5">
        <v>17</v>
      </c>
      <c r="D163" s="5">
        <v>19</v>
      </c>
      <c r="E163" s="5">
        <v>20</v>
      </c>
      <c r="F163" s="5">
        <v>21</v>
      </c>
      <c r="G163" s="5">
        <v>18</v>
      </c>
      <c r="H163" s="5">
        <v>19</v>
      </c>
      <c r="I163" s="5">
        <v>17</v>
      </c>
      <c r="J163" s="5">
        <v>20</v>
      </c>
      <c r="K163" s="5">
        <v>19</v>
      </c>
    </row>
    <row r="164" spans="1:11" x14ac:dyDescent="0.3">
      <c r="A164" s="5" t="s">
        <v>56</v>
      </c>
      <c r="B164" s="5">
        <v>35</v>
      </c>
      <c r="C164" s="5">
        <v>36</v>
      </c>
      <c r="D164" s="5">
        <v>34</v>
      </c>
      <c r="E164" s="5">
        <v>35</v>
      </c>
      <c r="F164" s="5">
        <v>33</v>
      </c>
      <c r="G164" s="5">
        <v>34</v>
      </c>
      <c r="H164" s="5">
        <v>32</v>
      </c>
      <c r="I164" s="5">
        <v>33</v>
      </c>
      <c r="J164" s="5">
        <v>36</v>
      </c>
      <c r="K164" s="5">
        <v>34</v>
      </c>
    </row>
    <row r="166" spans="1:11" x14ac:dyDescent="0.3">
      <c r="A166" t="s">
        <v>34</v>
      </c>
    </row>
    <row r="168" spans="1:11" x14ac:dyDescent="0.3">
      <c r="A168" s="2" t="s">
        <v>57</v>
      </c>
      <c r="B168" s="2"/>
      <c r="C168" s="2"/>
      <c r="D168" s="2"/>
      <c r="E168" s="2"/>
      <c r="F168" s="2"/>
      <c r="G168" s="2"/>
      <c r="H168" s="2"/>
      <c r="I168" s="2"/>
    </row>
    <row r="170" spans="1:11" x14ac:dyDescent="0.3">
      <c r="A170" s="40" t="s">
        <v>28</v>
      </c>
      <c r="B170" s="8" t="s">
        <v>52</v>
      </c>
      <c r="C170" s="11">
        <f>AVERAGE(B160:K160)</f>
        <v>30.6</v>
      </c>
    </row>
    <row r="171" spans="1:11" x14ac:dyDescent="0.3">
      <c r="A171" s="40"/>
      <c r="B171" s="8" t="s">
        <v>53</v>
      </c>
      <c r="C171" s="11">
        <f t="shared" ref="C171:C174" si="0">AVERAGE(B161:K161)</f>
        <v>25.9</v>
      </c>
    </row>
    <row r="172" spans="1:11" x14ac:dyDescent="0.3">
      <c r="A172" s="40"/>
      <c r="B172" s="8" t="s">
        <v>54</v>
      </c>
      <c r="C172" s="11">
        <f t="shared" si="0"/>
        <v>22.9</v>
      </c>
    </row>
    <row r="173" spans="1:11" x14ac:dyDescent="0.3">
      <c r="A173" s="40"/>
      <c r="B173" s="8" t="s">
        <v>55</v>
      </c>
      <c r="C173" s="11">
        <f t="shared" si="0"/>
        <v>18.8</v>
      </c>
    </row>
    <row r="174" spans="1:11" x14ac:dyDescent="0.3">
      <c r="A174" s="40"/>
      <c r="B174" s="8" t="s">
        <v>56</v>
      </c>
      <c r="C174" s="11">
        <f t="shared" si="0"/>
        <v>34.200000000000003</v>
      </c>
    </row>
    <row r="176" spans="1:11" x14ac:dyDescent="0.3">
      <c r="A176" s="34" t="s">
        <v>58</v>
      </c>
      <c r="B176" s="34"/>
      <c r="C176" s="34"/>
      <c r="D176" s="34"/>
      <c r="E176" s="34"/>
      <c r="F176" s="34"/>
      <c r="G176" s="34"/>
      <c r="H176" s="34"/>
    </row>
    <row r="178" spans="1:13" x14ac:dyDescent="0.3">
      <c r="A178" s="39" t="s">
        <v>59</v>
      </c>
      <c r="B178" s="39"/>
      <c r="C178" s="8" t="s">
        <v>52</v>
      </c>
      <c r="D178" s="11">
        <f>MAX(B160:K160)-MIN(B160:K160)</f>
        <v>5</v>
      </c>
    </row>
    <row r="179" spans="1:13" x14ac:dyDescent="0.3">
      <c r="A179" s="39"/>
      <c r="B179" s="39"/>
      <c r="C179" s="8" t="s">
        <v>53</v>
      </c>
      <c r="D179" s="11">
        <f t="shared" ref="D179:D182" si="1">MAX(B161:K161)-MIN(B161:K161)</f>
        <v>5</v>
      </c>
    </row>
    <row r="180" spans="1:13" x14ac:dyDescent="0.3">
      <c r="A180" s="39"/>
      <c r="B180" s="39"/>
      <c r="C180" s="8" t="s">
        <v>54</v>
      </c>
      <c r="D180" s="11">
        <f t="shared" si="1"/>
        <v>5</v>
      </c>
    </row>
    <row r="181" spans="1:13" x14ac:dyDescent="0.3">
      <c r="A181" s="39"/>
      <c r="B181" s="39"/>
      <c r="C181" s="8" t="s">
        <v>55</v>
      </c>
      <c r="D181" s="11">
        <f t="shared" si="1"/>
        <v>4</v>
      </c>
    </row>
    <row r="182" spans="1:13" x14ac:dyDescent="0.3">
      <c r="A182" s="39"/>
      <c r="B182" s="39"/>
      <c r="C182" s="8" t="s">
        <v>56</v>
      </c>
      <c r="D182" s="11">
        <f t="shared" si="1"/>
        <v>4</v>
      </c>
    </row>
    <row r="184" spans="1:13" x14ac:dyDescent="0.3">
      <c r="A184" s="34" t="s">
        <v>60</v>
      </c>
      <c r="B184" s="34"/>
      <c r="C184" s="34"/>
      <c r="D184" s="34"/>
      <c r="E184" s="34"/>
      <c r="F184" s="34"/>
      <c r="G184" s="34"/>
      <c r="H184" s="34"/>
    </row>
    <row r="186" spans="1:13" x14ac:dyDescent="0.3">
      <c r="A186" s="39" t="s">
        <v>61</v>
      </c>
      <c r="B186" s="8" t="s">
        <v>52</v>
      </c>
      <c r="C186" s="12">
        <f>VAR(B160:K160)</f>
        <v>2.2666666666666675</v>
      </c>
    </row>
    <row r="187" spans="1:13" x14ac:dyDescent="0.3">
      <c r="A187" s="39"/>
      <c r="B187" s="8" t="s">
        <v>53</v>
      </c>
      <c r="C187" s="12">
        <f t="shared" ref="C187:C190" si="2">VAR(B161:K161)</f>
        <v>2.7666666666666675</v>
      </c>
    </row>
    <row r="188" spans="1:13" x14ac:dyDescent="0.3">
      <c r="A188" s="39"/>
      <c r="B188" s="8" t="s">
        <v>54</v>
      </c>
      <c r="C188" s="12">
        <f t="shared" si="2"/>
        <v>2.7666666666666675</v>
      </c>
    </row>
    <row r="189" spans="1:13" x14ac:dyDescent="0.3">
      <c r="A189" s="39"/>
      <c r="B189" s="8" t="s">
        <v>55</v>
      </c>
      <c r="C189" s="12">
        <f t="shared" si="2"/>
        <v>1.7333333333333332</v>
      </c>
    </row>
    <row r="190" spans="1:13" x14ac:dyDescent="0.3">
      <c r="A190" s="39"/>
      <c r="B190" s="8" t="s">
        <v>56</v>
      </c>
      <c r="C190" s="12">
        <f t="shared" si="2"/>
        <v>1.7333333333333332</v>
      </c>
    </row>
    <row r="192" spans="1:13" x14ac:dyDescent="0.3">
      <c r="A192" s="34" t="s">
        <v>62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</row>
    <row r="194" spans="1:10" x14ac:dyDescent="0.3">
      <c r="A194" t="s">
        <v>1</v>
      </c>
    </row>
    <row r="196" spans="1:10" x14ac:dyDescent="0.3">
      <c r="A196" s="37" t="s">
        <v>63</v>
      </c>
      <c r="B196" s="37"/>
      <c r="C196" s="37"/>
      <c r="D196" s="37"/>
    </row>
    <row r="198" spans="1:10" x14ac:dyDescent="0.3">
      <c r="A198" s="5">
        <v>28</v>
      </c>
      <c r="B198" s="5">
        <v>32</v>
      </c>
      <c r="C198" s="5">
        <v>35</v>
      </c>
      <c r="D198" s="5">
        <v>40</v>
      </c>
      <c r="E198" s="5">
        <v>42</v>
      </c>
      <c r="F198" s="5">
        <v>28</v>
      </c>
      <c r="G198" s="5">
        <v>33</v>
      </c>
      <c r="H198" s="5">
        <v>38</v>
      </c>
      <c r="I198" s="5">
        <v>30</v>
      </c>
      <c r="J198" s="5">
        <v>41</v>
      </c>
    </row>
    <row r="199" spans="1:10" x14ac:dyDescent="0.3">
      <c r="A199" s="5">
        <v>37</v>
      </c>
      <c r="B199" s="5">
        <v>31</v>
      </c>
      <c r="C199" s="5">
        <v>34</v>
      </c>
      <c r="D199" s="5">
        <v>29</v>
      </c>
      <c r="E199" s="5">
        <v>36</v>
      </c>
      <c r="F199" s="5">
        <v>43</v>
      </c>
      <c r="G199" s="5">
        <v>39</v>
      </c>
      <c r="H199" s="5">
        <v>27</v>
      </c>
      <c r="I199" s="5">
        <v>35</v>
      </c>
      <c r="J199" s="5">
        <v>31</v>
      </c>
    </row>
    <row r="200" spans="1:10" x14ac:dyDescent="0.3">
      <c r="A200" s="5">
        <v>39</v>
      </c>
      <c r="B200" s="5">
        <v>45</v>
      </c>
      <c r="C200" s="5">
        <v>29</v>
      </c>
      <c r="D200" s="5">
        <v>33</v>
      </c>
      <c r="E200" s="5">
        <v>37</v>
      </c>
      <c r="F200" s="5">
        <v>40</v>
      </c>
      <c r="G200" s="5">
        <v>36</v>
      </c>
      <c r="H200" s="5">
        <v>29</v>
      </c>
      <c r="I200" s="5">
        <v>31</v>
      </c>
      <c r="J200" s="5">
        <v>38</v>
      </c>
    </row>
    <row r="201" spans="1:10" x14ac:dyDescent="0.3">
      <c r="A201" s="5">
        <v>35</v>
      </c>
      <c r="B201" s="5">
        <v>44</v>
      </c>
      <c r="C201" s="5">
        <v>32</v>
      </c>
      <c r="D201" s="5">
        <v>39</v>
      </c>
      <c r="E201" s="5">
        <v>36</v>
      </c>
      <c r="F201" s="5">
        <v>30</v>
      </c>
      <c r="G201" s="5">
        <v>33</v>
      </c>
      <c r="H201" s="5">
        <v>28</v>
      </c>
      <c r="I201" s="5">
        <v>41</v>
      </c>
      <c r="J201" s="5">
        <v>35</v>
      </c>
    </row>
    <row r="202" spans="1:10" x14ac:dyDescent="0.3">
      <c r="A202" s="5">
        <v>31</v>
      </c>
      <c r="B202" s="5">
        <v>37</v>
      </c>
      <c r="C202" s="5">
        <v>42</v>
      </c>
      <c r="D202" s="5">
        <v>29</v>
      </c>
      <c r="E202" s="5">
        <v>34</v>
      </c>
      <c r="F202" s="5">
        <v>40</v>
      </c>
      <c r="G202" s="5">
        <v>31</v>
      </c>
      <c r="H202" s="5">
        <v>33</v>
      </c>
      <c r="I202" s="5">
        <v>38</v>
      </c>
      <c r="J202" s="5">
        <v>36</v>
      </c>
    </row>
    <row r="203" spans="1:10" x14ac:dyDescent="0.3">
      <c r="A203" s="5">
        <v>39</v>
      </c>
      <c r="B203" s="5">
        <v>27</v>
      </c>
      <c r="C203" s="5">
        <v>35</v>
      </c>
      <c r="D203" s="5">
        <v>30</v>
      </c>
      <c r="E203" s="5">
        <v>43</v>
      </c>
      <c r="F203" s="5">
        <v>29</v>
      </c>
      <c r="G203" s="5">
        <v>32</v>
      </c>
      <c r="H203" s="5">
        <v>36</v>
      </c>
      <c r="I203" s="5">
        <v>31</v>
      </c>
      <c r="J203" s="5">
        <v>40</v>
      </c>
    </row>
    <row r="204" spans="1:10" x14ac:dyDescent="0.3">
      <c r="A204" s="5">
        <v>38</v>
      </c>
      <c r="B204" s="5">
        <v>44</v>
      </c>
      <c r="C204" s="5">
        <v>37</v>
      </c>
      <c r="D204" s="5">
        <v>33</v>
      </c>
      <c r="E204" s="5">
        <v>35</v>
      </c>
      <c r="F204" s="5">
        <v>41</v>
      </c>
      <c r="G204" s="5">
        <v>30</v>
      </c>
      <c r="H204" s="5">
        <v>31</v>
      </c>
      <c r="I204" s="5">
        <v>39</v>
      </c>
      <c r="J204" s="5">
        <v>28</v>
      </c>
    </row>
    <row r="205" spans="1:10" x14ac:dyDescent="0.3">
      <c r="A205" s="5">
        <v>45</v>
      </c>
      <c r="B205" s="5">
        <v>29</v>
      </c>
      <c r="C205" s="5">
        <v>33</v>
      </c>
      <c r="D205" s="5">
        <v>38</v>
      </c>
      <c r="E205" s="5">
        <v>34</v>
      </c>
      <c r="F205" s="5">
        <v>32</v>
      </c>
      <c r="G205" s="5">
        <v>35</v>
      </c>
      <c r="H205" s="5">
        <v>31</v>
      </c>
      <c r="I205" s="5">
        <v>40</v>
      </c>
      <c r="J205" s="5">
        <v>36</v>
      </c>
    </row>
    <row r="206" spans="1:10" x14ac:dyDescent="0.3">
      <c r="A206" s="5">
        <v>39</v>
      </c>
      <c r="B206" s="5">
        <v>27</v>
      </c>
      <c r="C206" s="5">
        <v>35</v>
      </c>
      <c r="D206" s="5">
        <v>30</v>
      </c>
      <c r="E206" s="5">
        <v>43</v>
      </c>
      <c r="F206" s="5">
        <v>29</v>
      </c>
      <c r="G206" s="5">
        <v>32</v>
      </c>
      <c r="H206" s="5">
        <v>36</v>
      </c>
      <c r="I206" s="5">
        <v>31</v>
      </c>
      <c r="J206" s="5">
        <v>40</v>
      </c>
    </row>
    <row r="207" spans="1:10" x14ac:dyDescent="0.3">
      <c r="A207" s="5">
        <v>38</v>
      </c>
      <c r="B207" s="5">
        <v>44</v>
      </c>
      <c r="C207" s="5">
        <v>37</v>
      </c>
      <c r="D207" s="5">
        <v>33</v>
      </c>
      <c r="E207" s="5">
        <v>35</v>
      </c>
      <c r="F207" s="5">
        <v>41</v>
      </c>
      <c r="G207" s="5">
        <v>30</v>
      </c>
      <c r="H207" s="5">
        <v>31</v>
      </c>
      <c r="I207" s="5">
        <v>39</v>
      </c>
      <c r="J207" s="5">
        <v>28</v>
      </c>
    </row>
    <row r="209" spans="1:20" x14ac:dyDescent="0.3">
      <c r="A209" t="s">
        <v>34</v>
      </c>
    </row>
    <row r="211" spans="1:20" x14ac:dyDescent="0.3">
      <c r="A211" s="34" t="s">
        <v>64</v>
      </c>
      <c r="B211" s="34"/>
      <c r="C211" s="34"/>
      <c r="D211" s="34"/>
      <c r="E211" s="34"/>
      <c r="F211" s="34"/>
      <c r="G211" s="34"/>
      <c r="H211" s="34"/>
    </row>
    <row r="213" spans="1:20" x14ac:dyDescent="0.3">
      <c r="A213" s="8" t="s">
        <v>67</v>
      </c>
      <c r="B213" s="11">
        <v>31</v>
      </c>
      <c r="C213" s="11">
        <v>35</v>
      </c>
      <c r="D213" s="11">
        <v>33</v>
      </c>
      <c r="E213" s="11">
        <v>29</v>
      </c>
      <c r="F213" s="11">
        <v>36</v>
      </c>
      <c r="G213" s="11">
        <v>39</v>
      </c>
      <c r="H213" s="11">
        <v>40</v>
      </c>
      <c r="I213" s="11">
        <v>38</v>
      </c>
      <c r="J213" s="11">
        <v>30</v>
      </c>
      <c r="K213" s="11">
        <v>28</v>
      </c>
      <c r="L213" s="11">
        <v>32</v>
      </c>
      <c r="M213" s="11">
        <v>37</v>
      </c>
      <c r="N213" s="11">
        <v>41</v>
      </c>
      <c r="O213" s="11">
        <v>34</v>
      </c>
      <c r="P213" s="11">
        <v>43</v>
      </c>
      <c r="Q213" s="11">
        <v>27</v>
      </c>
      <c r="R213" s="11">
        <v>44</v>
      </c>
      <c r="S213" s="11">
        <v>42</v>
      </c>
      <c r="T213" s="11">
        <v>45</v>
      </c>
    </row>
    <row r="214" spans="1:20" x14ac:dyDescent="0.3">
      <c r="A214" s="8" t="s">
        <v>65</v>
      </c>
      <c r="B214" s="11">
        <f>COUNTIF($A$198:$J$207,B213)</f>
        <v>10</v>
      </c>
      <c r="C214" s="11">
        <f t="shared" ref="C214:M214" si="3">COUNTIF($A$198:$J$207,C213)</f>
        <v>9</v>
      </c>
      <c r="D214" s="11">
        <f t="shared" si="3"/>
        <v>7</v>
      </c>
      <c r="E214" s="11">
        <f t="shared" si="3"/>
        <v>7</v>
      </c>
      <c r="F214" s="11">
        <f t="shared" si="3"/>
        <v>7</v>
      </c>
      <c r="G214" s="11">
        <f t="shared" si="3"/>
        <v>7</v>
      </c>
      <c r="H214" s="11">
        <f t="shared" si="3"/>
        <v>6</v>
      </c>
      <c r="I214" s="11">
        <f t="shared" si="3"/>
        <v>6</v>
      </c>
      <c r="J214" s="11">
        <f t="shared" si="3"/>
        <v>6</v>
      </c>
      <c r="K214" s="11">
        <f t="shared" si="3"/>
        <v>5</v>
      </c>
      <c r="L214" s="11">
        <f t="shared" si="3"/>
        <v>5</v>
      </c>
      <c r="M214" s="11">
        <f t="shared" si="3"/>
        <v>5</v>
      </c>
      <c r="N214" s="11">
        <f>COUNTIF($A$198:$J$207,N213)</f>
        <v>4</v>
      </c>
      <c r="O214" s="11">
        <f t="shared" ref="O214" si="4">COUNTIF($A$198:$J$207,O213)</f>
        <v>3</v>
      </c>
      <c r="P214" s="11">
        <f t="shared" ref="P214" si="5">COUNTIF($A$198:$J$207,P213)</f>
        <v>3</v>
      </c>
      <c r="Q214" s="11">
        <f t="shared" ref="Q214" si="6">COUNTIF($A$198:$J$207,Q213)</f>
        <v>3</v>
      </c>
      <c r="R214" s="11">
        <f t="shared" ref="R214" si="7">COUNTIF($A$198:$J$207,R213)</f>
        <v>3</v>
      </c>
      <c r="S214" s="11">
        <f t="shared" ref="S214" si="8">COUNTIF($A$198:$J$207,S213)</f>
        <v>2</v>
      </c>
      <c r="T214" s="11">
        <f t="shared" ref="T214" si="9">COUNTIF($A$198:$J$207,T213)</f>
        <v>2</v>
      </c>
    </row>
    <row r="216" spans="1:20" x14ac:dyDescent="0.3">
      <c r="A216" s="34" t="s">
        <v>66</v>
      </c>
      <c r="B216" s="34"/>
      <c r="C216" s="34"/>
      <c r="D216" s="34"/>
      <c r="E216" s="34"/>
      <c r="F216" s="34"/>
      <c r="G216" s="34"/>
    </row>
    <row r="218" spans="1:20" x14ac:dyDescent="0.3">
      <c r="A218" s="2" t="s">
        <v>23</v>
      </c>
      <c r="B218" s="3">
        <f>MODE(A198:J207)</f>
        <v>31</v>
      </c>
    </row>
    <row r="220" spans="1:20" x14ac:dyDescent="0.3">
      <c r="A220" s="34" t="s">
        <v>68</v>
      </c>
      <c r="B220" s="34"/>
      <c r="C220" s="34"/>
      <c r="D220" s="34"/>
      <c r="E220" s="34"/>
    </row>
    <row r="222" spans="1:20" x14ac:dyDescent="0.3">
      <c r="A222" s="2" t="s">
        <v>21</v>
      </c>
      <c r="B222" s="3">
        <f>MEDIAN(A198:J207)</f>
        <v>35</v>
      </c>
    </row>
    <row r="224" spans="1:20" x14ac:dyDescent="0.3">
      <c r="A224" s="34" t="s">
        <v>69</v>
      </c>
      <c r="B224" s="34"/>
      <c r="C224" s="34"/>
      <c r="D224" s="34"/>
      <c r="E224" s="34"/>
      <c r="F224" s="34"/>
    </row>
    <row r="226" spans="1:11" x14ac:dyDescent="0.3">
      <c r="A226" s="36" t="s">
        <v>59</v>
      </c>
      <c r="B226" s="36"/>
      <c r="C226" s="3">
        <f>MAX(A198:J207)-MIN(A198:J207)</f>
        <v>18</v>
      </c>
    </row>
    <row r="227" spans="1:11" x14ac:dyDescent="0.3">
      <c r="A227" s="9"/>
      <c r="B227" s="9"/>
    </row>
    <row r="228" spans="1:11" x14ac:dyDescent="0.3">
      <c r="A228" s="34" t="s">
        <v>70</v>
      </c>
      <c r="B228" s="34"/>
      <c r="C228" s="34"/>
      <c r="D228" s="34"/>
      <c r="E228" s="34"/>
      <c r="F228" s="34"/>
      <c r="G228" s="34"/>
      <c r="H228" s="34"/>
      <c r="I228" s="34"/>
      <c r="J228" s="34"/>
      <c r="K228" s="34"/>
    </row>
    <row r="229" spans="1:11" x14ac:dyDescent="0.3">
      <c r="A229" s="9"/>
      <c r="B229" s="9"/>
    </row>
    <row r="230" spans="1:11" x14ac:dyDescent="0.3">
      <c r="A230" t="s">
        <v>1</v>
      </c>
      <c r="B230" s="9"/>
    </row>
    <row r="232" spans="1:11" x14ac:dyDescent="0.3">
      <c r="A232" s="37" t="s">
        <v>71</v>
      </c>
      <c r="B232" s="37"/>
      <c r="C232" s="37"/>
      <c r="D232" s="37"/>
      <c r="E232" s="37"/>
      <c r="F232" s="37"/>
      <c r="G232" s="37"/>
    </row>
    <row r="234" spans="1:11" x14ac:dyDescent="0.3">
      <c r="A234" s="5">
        <v>56</v>
      </c>
      <c r="B234" s="5">
        <v>40</v>
      </c>
      <c r="C234" s="5">
        <v>28</v>
      </c>
      <c r="D234" s="5">
        <v>73</v>
      </c>
      <c r="E234" s="5">
        <v>52</v>
      </c>
      <c r="F234" s="5">
        <v>61</v>
      </c>
      <c r="G234" s="5">
        <v>35</v>
      </c>
      <c r="H234" s="5">
        <v>40</v>
      </c>
      <c r="I234" s="5">
        <v>47</v>
      </c>
      <c r="J234" s="5">
        <v>65</v>
      </c>
    </row>
    <row r="235" spans="1:11" x14ac:dyDescent="0.3">
      <c r="A235" s="5">
        <v>52</v>
      </c>
      <c r="B235" s="5">
        <v>44</v>
      </c>
      <c r="C235" s="5">
        <v>38</v>
      </c>
      <c r="D235" s="5">
        <v>60</v>
      </c>
      <c r="E235" s="5">
        <v>56</v>
      </c>
      <c r="F235" s="5">
        <v>40</v>
      </c>
      <c r="G235" s="5">
        <v>36</v>
      </c>
      <c r="H235" s="5">
        <v>49</v>
      </c>
      <c r="I235" s="5">
        <v>68</v>
      </c>
      <c r="J235" s="5">
        <v>57</v>
      </c>
    </row>
    <row r="236" spans="1:11" x14ac:dyDescent="0.3">
      <c r="A236" s="5">
        <v>52</v>
      </c>
      <c r="B236" s="5">
        <v>63</v>
      </c>
      <c r="C236" s="5">
        <v>41</v>
      </c>
      <c r="D236" s="5">
        <v>48</v>
      </c>
      <c r="E236" s="5">
        <v>55</v>
      </c>
      <c r="F236" s="5">
        <v>42</v>
      </c>
      <c r="G236" s="5">
        <v>39</v>
      </c>
      <c r="H236" s="5">
        <v>58</v>
      </c>
      <c r="I236" s="5">
        <v>62</v>
      </c>
      <c r="J236" s="5">
        <v>49</v>
      </c>
    </row>
    <row r="237" spans="1:11" x14ac:dyDescent="0.3">
      <c r="A237" s="5">
        <v>59</v>
      </c>
      <c r="B237" s="5">
        <v>45</v>
      </c>
      <c r="C237" s="5">
        <v>47</v>
      </c>
      <c r="D237" s="5">
        <v>51</v>
      </c>
      <c r="E237" s="5">
        <v>65</v>
      </c>
      <c r="F237" s="5">
        <v>41</v>
      </c>
      <c r="G237" s="5">
        <v>48</v>
      </c>
      <c r="H237" s="5">
        <v>55</v>
      </c>
      <c r="I237" s="5">
        <v>42</v>
      </c>
      <c r="J237" s="5">
        <v>39</v>
      </c>
    </row>
    <row r="238" spans="1:11" x14ac:dyDescent="0.3">
      <c r="A238" s="5">
        <v>58</v>
      </c>
      <c r="B238" s="5">
        <v>62</v>
      </c>
      <c r="C238" s="5">
        <v>49</v>
      </c>
      <c r="D238" s="5">
        <v>59</v>
      </c>
      <c r="E238" s="5">
        <v>45</v>
      </c>
      <c r="F238" s="5">
        <v>47</v>
      </c>
      <c r="G238" s="5">
        <v>51</v>
      </c>
      <c r="H238" s="5">
        <v>65</v>
      </c>
      <c r="I238" s="5">
        <v>43</v>
      </c>
      <c r="J238" s="5">
        <v>58</v>
      </c>
    </row>
    <row r="240" spans="1:11" x14ac:dyDescent="0.3">
      <c r="A240" t="s">
        <v>34</v>
      </c>
    </row>
    <row r="242" spans="1:8" x14ac:dyDescent="0.3">
      <c r="A242" s="34" t="s">
        <v>72</v>
      </c>
      <c r="B242" s="34"/>
      <c r="C242" s="34"/>
      <c r="D242" s="34"/>
      <c r="E242" s="34"/>
      <c r="F242" s="34"/>
      <c r="G242" s="34"/>
      <c r="H242" s="34"/>
    </row>
    <row r="244" spans="1:8" x14ac:dyDescent="0.3">
      <c r="B244" s="8" t="s">
        <v>67</v>
      </c>
      <c r="C244" s="8" t="s">
        <v>65</v>
      </c>
    </row>
    <row r="245" spans="1:8" x14ac:dyDescent="0.3">
      <c r="B245" s="10">
        <v>40</v>
      </c>
      <c r="C245" s="10">
        <f>COUNTIF($A$234:$J$238,B245)</f>
        <v>3</v>
      </c>
    </row>
    <row r="246" spans="1:8" x14ac:dyDescent="0.3">
      <c r="B246" s="10">
        <v>52</v>
      </c>
      <c r="C246" s="10">
        <f t="shared" ref="C246:C272" si="10">COUNTIF($A$234:$J$238,B246)</f>
        <v>3</v>
      </c>
    </row>
    <row r="247" spans="1:8" x14ac:dyDescent="0.3">
      <c r="B247" s="10">
        <v>47</v>
      </c>
      <c r="C247" s="10">
        <f t="shared" si="10"/>
        <v>3</v>
      </c>
    </row>
    <row r="248" spans="1:8" x14ac:dyDescent="0.3">
      <c r="B248" s="10">
        <v>65</v>
      </c>
      <c r="C248" s="10">
        <f t="shared" si="10"/>
        <v>3</v>
      </c>
    </row>
    <row r="249" spans="1:8" x14ac:dyDescent="0.3">
      <c r="B249" s="10">
        <v>49</v>
      </c>
      <c r="C249" s="10">
        <f t="shared" si="10"/>
        <v>3</v>
      </c>
      <c r="F249" s="7"/>
    </row>
    <row r="250" spans="1:8" x14ac:dyDescent="0.3">
      <c r="B250" s="10">
        <v>58</v>
      </c>
      <c r="C250" s="10">
        <f t="shared" si="10"/>
        <v>3</v>
      </c>
    </row>
    <row r="251" spans="1:8" x14ac:dyDescent="0.3">
      <c r="B251" s="10">
        <v>56</v>
      </c>
      <c r="C251" s="10">
        <f t="shared" si="10"/>
        <v>2</v>
      </c>
    </row>
    <row r="252" spans="1:8" x14ac:dyDescent="0.3">
      <c r="B252" s="10">
        <v>41</v>
      </c>
      <c r="C252" s="10">
        <f t="shared" si="10"/>
        <v>2</v>
      </c>
    </row>
    <row r="253" spans="1:8" x14ac:dyDescent="0.3">
      <c r="B253" s="10">
        <v>48</v>
      </c>
      <c r="C253" s="10">
        <f t="shared" si="10"/>
        <v>2</v>
      </c>
    </row>
    <row r="254" spans="1:8" x14ac:dyDescent="0.3">
      <c r="B254" s="10">
        <v>55</v>
      </c>
      <c r="C254" s="10">
        <f t="shared" si="10"/>
        <v>2</v>
      </c>
    </row>
    <row r="255" spans="1:8" x14ac:dyDescent="0.3">
      <c r="B255" s="10">
        <v>42</v>
      </c>
      <c r="C255" s="10">
        <f t="shared" si="10"/>
        <v>2</v>
      </c>
    </row>
    <row r="256" spans="1:8" x14ac:dyDescent="0.3">
      <c r="B256" s="10">
        <v>39</v>
      </c>
      <c r="C256" s="10">
        <f t="shared" si="10"/>
        <v>2</v>
      </c>
    </row>
    <row r="257" spans="2:3" x14ac:dyDescent="0.3">
      <c r="B257" s="10">
        <v>62</v>
      </c>
      <c r="C257" s="10">
        <f t="shared" si="10"/>
        <v>2</v>
      </c>
    </row>
    <row r="258" spans="2:3" x14ac:dyDescent="0.3">
      <c r="B258" s="10">
        <v>59</v>
      </c>
      <c r="C258" s="10">
        <f t="shared" si="10"/>
        <v>2</v>
      </c>
    </row>
    <row r="259" spans="2:3" x14ac:dyDescent="0.3">
      <c r="B259" s="10">
        <v>45</v>
      </c>
      <c r="C259" s="10">
        <f t="shared" si="10"/>
        <v>2</v>
      </c>
    </row>
    <row r="260" spans="2:3" x14ac:dyDescent="0.3">
      <c r="B260" s="10">
        <v>51</v>
      </c>
      <c r="C260" s="10">
        <f t="shared" si="10"/>
        <v>2</v>
      </c>
    </row>
    <row r="261" spans="2:3" x14ac:dyDescent="0.3">
      <c r="B261" s="10">
        <v>28</v>
      </c>
      <c r="C261" s="10">
        <f t="shared" si="10"/>
        <v>1</v>
      </c>
    </row>
    <row r="262" spans="2:3" x14ac:dyDescent="0.3">
      <c r="B262" s="10">
        <v>73</v>
      </c>
      <c r="C262" s="10">
        <f t="shared" si="10"/>
        <v>1</v>
      </c>
    </row>
    <row r="263" spans="2:3" x14ac:dyDescent="0.3">
      <c r="B263" s="10">
        <v>61</v>
      </c>
      <c r="C263" s="10">
        <f t="shared" si="10"/>
        <v>1</v>
      </c>
    </row>
    <row r="264" spans="2:3" x14ac:dyDescent="0.3">
      <c r="B264" s="10">
        <v>35</v>
      </c>
      <c r="C264" s="10">
        <f t="shared" si="10"/>
        <v>1</v>
      </c>
    </row>
    <row r="265" spans="2:3" x14ac:dyDescent="0.3">
      <c r="B265" s="10">
        <v>44</v>
      </c>
      <c r="C265" s="10">
        <f t="shared" si="10"/>
        <v>1</v>
      </c>
    </row>
    <row r="266" spans="2:3" x14ac:dyDescent="0.3">
      <c r="B266" s="10">
        <v>38</v>
      </c>
      <c r="C266" s="10">
        <f t="shared" si="10"/>
        <v>1</v>
      </c>
    </row>
    <row r="267" spans="2:3" x14ac:dyDescent="0.3">
      <c r="B267" s="10">
        <v>60</v>
      </c>
      <c r="C267" s="10">
        <f t="shared" si="10"/>
        <v>1</v>
      </c>
    </row>
    <row r="268" spans="2:3" x14ac:dyDescent="0.3">
      <c r="B268" s="10">
        <v>36</v>
      </c>
      <c r="C268" s="10">
        <f t="shared" si="10"/>
        <v>1</v>
      </c>
    </row>
    <row r="269" spans="2:3" x14ac:dyDescent="0.3">
      <c r="B269" s="10">
        <v>68</v>
      </c>
      <c r="C269" s="10">
        <f t="shared" si="10"/>
        <v>1</v>
      </c>
    </row>
    <row r="270" spans="2:3" x14ac:dyDescent="0.3">
      <c r="B270" s="10">
        <v>57</v>
      </c>
      <c r="C270" s="10">
        <f t="shared" si="10"/>
        <v>1</v>
      </c>
    </row>
    <row r="271" spans="2:3" x14ac:dyDescent="0.3">
      <c r="B271" s="10">
        <v>63</v>
      </c>
      <c r="C271" s="10">
        <f t="shared" si="10"/>
        <v>1</v>
      </c>
    </row>
    <row r="272" spans="2:3" x14ac:dyDescent="0.3">
      <c r="B272" s="10">
        <v>43</v>
      </c>
      <c r="C272" s="10">
        <f t="shared" si="10"/>
        <v>1</v>
      </c>
    </row>
    <row r="274" spans="1:13" x14ac:dyDescent="0.3">
      <c r="A274" s="34" t="s">
        <v>73</v>
      </c>
      <c r="B274" s="34"/>
      <c r="C274" s="34"/>
      <c r="D274" s="34"/>
      <c r="E274" s="34"/>
      <c r="F274" s="34"/>
      <c r="G274" s="34"/>
      <c r="H274" s="34"/>
    </row>
    <row r="276" spans="1:13" x14ac:dyDescent="0.3">
      <c r="A276" s="2" t="s">
        <v>23</v>
      </c>
      <c r="B276" s="11">
        <f>MODE(A234:J238)</f>
        <v>40</v>
      </c>
    </row>
    <row r="278" spans="1:13" x14ac:dyDescent="0.3">
      <c r="A278" s="34" t="s">
        <v>74</v>
      </c>
      <c r="B278" s="34"/>
      <c r="C278" s="34"/>
      <c r="D278" s="34"/>
      <c r="E278" s="34"/>
      <c r="F278" s="34"/>
      <c r="G278" s="34"/>
    </row>
    <row r="280" spans="1:13" x14ac:dyDescent="0.3">
      <c r="A280" s="2" t="s">
        <v>21</v>
      </c>
      <c r="B280" s="11">
        <f>MEDIAN(A234:J238)</f>
        <v>50</v>
      </c>
    </row>
    <row r="282" spans="1:13" x14ac:dyDescent="0.3">
      <c r="A282" s="2" t="s">
        <v>75</v>
      </c>
      <c r="B282" s="2"/>
      <c r="C282" s="2"/>
      <c r="D282" s="2"/>
      <c r="E282" s="2"/>
      <c r="F282" s="2"/>
      <c r="G282" s="2"/>
    </row>
    <row r="284" spans="1:13" x14ac:dyDescent="0.3">
      <c r="A284" s="2" t="s">
        <v>76</v>
      </c>
      <c r="B284" s="11">
        <f>QUARTILE(A234:J238,3)-QUARTILE(A234:J238,1)</f>
        <v>15.75</v>
      </c>
    </row>
    <row r="286" spans="1:13" x14ac:dyDescent="0.3">
      <c r="A286" s="34" t="s">
        <v>77</v>
      </c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</row>
    <row r="288" spans="1:13" x14ac:dyDescent="0.3">
      <c r="A288" t="s">
        <v>1</v>
      </c>
    </row>
    <row r="290" spans="1:10" x14ac:dyDescent="0.3">
      <c r="A290" s="37" t="s">
        <v>78</v>
      </c>
      <c r="B290" s="37"/>
      <c r="C290" s="37"/>
      <c r="D290" s="37"/>
      <c r="E290" s="37"/>
      <c r="F290" s="37"/>
      <c r="G290" s="37"/>
      <c r="H290" s="37"/>
      <c r="I290" s="37"/>
      <c r="J290" s="37"/>
    </row>
    <row r="292" spans="1:10" x14ac:dyDescent="0.3">
      <c r="A292" s="16" t="s">
        <v>85</v>
      </c>
      <c r="B292" s="15" t="s">
        <v>86</v>
      </c>
      <c r="C292" s="15" t="s">
        <v>79</v>
      </c>
      <c r="D292" s="15" t="s">
        <v>80</v>
      </c>
      <c r="E292" s="15" t="s">
        <v>81</v>
      </c>
      <c r="F292" s="15" t="s">
        <v>82</v>
      </c>
      <c r="G292" s="15" t="s">
        <v>83</v>
      </c>
      <c r="H292" s="15" t="s">
        <v>84</v>
      </c>
    </row>
    <row r="293" spans="1:10" x14ac:dyDescent="0.3">
      <c r="A293" s="16" t="s">
        <v>87</v>
      </c>
      <c r="B293" s="15">
        <v>30</v>
      </c>
      <c r="C293" s="15">
        <v>40</v>
      </c>
      <c r="D293" s="15">
        <v>20</v>
      </c>
      <c r="E293" s="15">
        <v>10</v>
      </c>
      <c r="F293" s="15">
        <v>45</v>
      </c>
      <c r="G293" s="15">
        <v>25</v>
      </c>
      <c r="H293" s="15">
        <v>30</v>
      </c>
    </row>
    <row r="295" spans="1:10" x14ac:dyDescent="0.3">
      <c r="A295" t="s">
        <v>34</v>
      </c>
    </row>
    <row r="297" spans="1:10" x14ac:dyDescent="0.3">
      <c r="A297" s="34" t="s">
        <v>88</v>
      </c>
      <c r="B297" s="34"/>
      <c r="C297" s="34"/>
      <c r="D297" s="34"/>
      <c r="E297" s="34"/>
      <c r="F297" s="34"/>
      <c r="G297" s="34"/>
    </row>
    <row r="316" spans="1:8" x14ac:dyDescent="0.3">
      <c r="A316" s="34" t="s">
        <v>89</v>
      </c>
      <c r="B316" s="34"/>
      <c r="C316" s="34"/>
      <c r="D316" s="34"/>
      <c r="E316" s="34"/>
      <c r="F316" s="34"/>
      <c r="G316" s="34"/>
    </row>
    <row r="318" spans="1:8" x14ac:dyDescent="0.3">
      <c r="A318" s="34" t="s">
        <v>91</v>
      </c>
      <c r="B318" s="34"/>
      <c r="C318" s="3">
        <f>MAX(B292:H293)</f>
        <v>45</v>
      </c>
      <c r="D318" s="38" t="s">
        <v>90</v>
      </c>
      <c r="E318" s="38"/>
      <c r="F318" s="38"/>
      <c r="G318" s="38"/>
      <c r="H318" s="38"/>
    </row>
    <row r="320" spans="1:8" x14ac:dyDescent="0.3">
      <c r="A320" s="34" t="s">
        <v>92</v>
      </c>
      <c r="B320" s="34"/>
      <c r="C320" s="34"/>
      <c r="D320" s="34"/>
      <c r="E320" s="34"/>
      <c r="F320" s="34"/>
      <c r="G320" s="34"/>
    </row>
    <row r="339" spans="1:13" x14ac:dyDescent="0.3">
      <c r="A339" s="34" t="s">
        <v>93</v>
      </c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</row>
    <row r="341" spans="1:13" x14ac:dyDescent="0.3">
      <c r="A341" t="s">
        <v>1</v>
      </c>
    </row>
    <row r="343" spans="1:13" x14ac:dyDescent="0.3">
      <c r="A343" s="37" t="s">
        <v>94</v>
      </c>
      <c r="B343" s="37"/>
      <c r="C343" s="37"/>
      <c r="D343" s="37"/>
      <c r="E343" s="37"/>
    </row>
    <row r="345" spans="1:13" x14ac:dyDescent="0.3">
      <c r="A345" t="s">
        <v>95</v>
      </c>
    </row>
    <row r="347" spans="1:13" x14ac:dyDescent="0.3">
      <c r="A347" s="16">
        <v>4</v>
      </c>
      <c r="B347" s="16">
        <v>5</v>
      </c>
      <c r="C347" s="16">
        <v>3</v>
      </c>
      <c r="D347" s="16">
        <v>4</v>
      </c>
      <c r="E347" s="16">
        <v>4</v>
      </c>
      <c r="F347" s="16">
        <v>3</v>
      </c>
      <c r="G347" s="16">
        <v>2</v>
      </c>
      <c r="H347" s="16">
        <v>5</v>
      </c>
      <c r="I347" s="16">
        <v>4</v>
      </c>
      <c r="J347" s="16">
        <v>3</v>
      </c>
    </row>
    <row r="348" spans="1:13" x14ac:dyDescent="0.3">
      <c r="A348" s="16">
        <v>5</v>
      </c>
      <c r="B348" s="16">
        <v>4</v>
      </c>
      <c r="C348" s="16">
        <v>2</v>
      </c>
      <c r="D348" s="16">
        <v>3</v>
      </c>
      <c r="E348" s="16">
        <v>4</v>
      </c>
      <c r="F348" s="16">
        <v>5</v>
      </c>
      <c r="G348" s="16">
        <v>3</v>
      </c>
      <c r="H348" s="16">
        <v>4</v>
      </c>
      <c r="I348" s="16">
        <v>5</v>
      </c>
      <c r="J348" s="16">
        <v>3</v>
      </c>
    </row>
    <row r="349" spans="1:13" x14ac:dyDescent="0.3">
      <c r="A349" s="16">
        <v>4</v>
      </c>
      <c r="B349" s="16">
        <v>3</v>
      </c>
      <c r="C349" s="16">
        <v>2</v>
      </c>
      <c r="D349" s="16">
        <v>4</v>
      </c>
      <c r="E349" s="16">
        <v>5</v>
      </c>
      <c r="F349" s="16">
        <v>3</v>
      </c>
      <c r="G349" s="16">
        <v>4</v>
      </c>
      <c r="H349" s="16">
        <v>5</v>
      </c>
      <c r="I349" s="16">
        <v>4</v>
      </c>
      <c r="J349" s="16">
        <v>3</v>
      </c>
    </row>
    <row r="350" spans="1:13" x14ac:dyDescent="0.3">
      <c r="A350" s="16">
        <v>3</v>
      </c>
      <c r="B350" s="16">
        <v>4</v>
      </c>
      <c r="C350" s="16">
        <v>5</v>
      </c>
      <c r="D350" s="16">
        <v>2</v>
      </c>
      <c r="E350" s="16">
        <v>3</v>
      </c>
      <c r="F350" s="16">
        <v>4</v>
      </c>
      <c r="G350" s="16">
        <v>4</v>
      </c>
      <c r="H350" s="16">
        <v>3</v>
      </c>
      <c r="I350" s="16">
        <v>5</v>
      </c>
      <c r="J350" s="16">
        <v>4</v>
      </c>
    </row>
    <row r="351" spans="1:13" x14ac:dyDescent="0.3">
      <c r="A351" s="16">
        <v>3</v>
      </c>
      <c r="B351" s="16">
        <v>4</v>
      </c>
      <c r="C351" s="16">
        <v>5</v>
      </c>
      <c r="D351" s="16">
        <v>4</v>
      </c>
      <c r="E351" s="16">
        <v>2</v>
      </c>
      <c r="F351" s="16">
        <v>3</v>
      </c>
      <c r="G351" s="16">
        <v>4</v>
      </c>
      <c r="H351" s="16">
        <v>5</v>
      </c>
      <c r="I351" s="16">
        <v>3</v>
      </c>
      <c r="J351" s="16">
        <v>4</v>
      </c>
    </row>
    <row r="352" spans="1:13" x14ac:dyDescent="0.3">
      <c r="A352" s="16">
        <v>5</v>
      </c>
      <c r="B352" s="16">
        <v>4</v>
      </c>
      <c r="C352" s="16">
        <v>3</v>
      </c>
      <c r="D352" s="16">
        <v>4</v>
      </c>
      <c r="E352" s="16">
        <v>5</v>
      </c>
      <c r="F352" s="16">
        <v>3</v>
      </c>
      <c r="G352" s="16">
        <v>4</v>
      </c>
      <c r="H352" s="16">
        <v>5</v>
      </c>
      <c r="I352" s="16">
        <v>4</v>
      </c>
      <c r="J352" s="16">
        <v>3</v>
      </c>
    </row>
    <row r="353" spans="1:10" x14ac:dyDescent="0.3">
      <c r="A353" s="16">
        <v>3</v>
      </c>
      <c r="B353" s="16">
        <v>4</v>
      </c>
      <c r="C353" s="16">
        <v>5</v>
      </c>
      <c r="D353" s="16">
        <v>2</v>
      </c>
      <c r="E353" s="16">
        <v>3</v>
      </c>
      <c r="F353" s="16">
        <v>4</v>
      </c>
      <c r="G353" s="16">
        <v>4</v>
      </c>
      <c r="H353" s="16">
        <v>3</v>
      </c>
      <c r="I353" s="16">
        <v>5</v>
      </c>
      <c r="J353" s="16">
        <v>4</v>
      </c>
    </row>
    <row r="354" spans="1:10" x14ac:dyDescent="0.3">
      <c r="A354" s="16">
        <v>3</v>
      </c>
      <c r="B354" s="16">
        <v>4</v>
      </c>
      <c r="C354" s="16">
        <v>5</v>
      </c>
      <c r="D354" s="16">
        <v>4</v>
      </c>
      <c r="E354" s="16">
        <v>2</v>
      </c>
      <c r="F354" s="16">
        <v>3</v>
      </c>
      <c r="G354" s="16">
        <v>4</v>
      </c>
      <c r="H354" s="16">
        <v>5</v>
      </c>
      <c r="I354" s="16">
        <v>3</v>
      </c>
      <c r="J354" s="16">
        <v>4</v>
      </c>
    </row>
    <row r="355" spans="1:10" x14ac:dyDescent="0.3">
      <c r="A355" s="16">
        <v>5</v>
      </c>
      <c r="B355" s="16">
        <v>4</v>
      </c>
      <c r="C355" s="16">
        <v>3</v>
      </c>
      <c r="D355" s="16">
        <v>4</v>
      </c>
      <c r="E355" s="16">
        <v>5</v>
      </c>
      <c r="F355" s="16">
        <v>3</v>
      </c>
      <c r="G355" s="16">
        <v>4</v>
      </c>
      <c r="H355" s="16">
        <v>5</v>
      </c>
      <c r="I355" s="16">
        <v>4</v>
      </c>
      <c r="J355" s="16">
        <v>3</v>
      </c>
    </row>
    <row r="356" spans="1:10" x14ac:dyDescent="0.3">
      <c r="A356" s="16">
        <v>3</v>
      </c>
      <c r="B356" s="16">
        <v>4</v>
      </c>
      <c r="C356" s="16">
        <v>5</v>
      </c>
      <c r="D356" s="16">
        <v>2</v>
      </c>
      <c r="E356" s="16">
        <v>3</v>
      </c>
      <c r="F356" s="16">
        <v>4</v>
      </c>
      <c r="G356" s="16">
        <v>4</v>
      </c>
      <c r="H356" s="16">
        <v>3</v>
      </c>
      <c r="I356" s="16">
        <v>5</v>
      </c>
      <c r="J356" s="16">
        <v>4</v>
      </c>
    </row>
    <row r="358" spans="1:10" x14ac:dyDescent="0.3">
      <c r="A358" t="s">
        <v>34</v>
      </c>
    </row>
    <row r="360" spans="1:10" x14ac:dyDescent="0.3">
      <c r="A360" s="11" t="s">
        <v>100</v>
      </c>
      <c r="B360" s="11"/>
      <c r="C360" s="11">
        <v>1</v>
      </c>
      <c r="D360" s="11">
        <v>2</v>
      </c>
      <c r="E360" s="11">
        <v>3</v>
      </c>
      <c r="F360" s="11">
        <v>4</v>
      </c>
      <c r="G360" s="11">
        <v>5</v>
      </c>
    </row>
    <row r="361" spans="1:10" x14ac:dyDescent="0.3">
      <c r="A361" s="11" t="s">
        <v>99</v>
      </c>
      <c r="B361" s="11"/>
      <c r="C361" s="11">
        <f>COUNTIF($A$347:$J$356,C360)</f>
        <v>0</v>
      </c>
      <c r="D361" s="11">
        <f>COUNTIF($A$347:$J$356,D360)</f>
        <v>8</v>
      </c>
      <c r="E361" s="11">
        <f>COUNTIF($A$347:$J$356,E360)</f>
        <v>30</v>
      </c>
      <c r="F361" s="17">
        <f>COUNTIF($A$347:$J$356,F360)</f>
        <v>39</v>
      </c>
      <c r="G361" s="11">
        <f>COUNTIF($A$347:$J$356,G360)</f>
        <v>23</v>
      </c>
    </row>
    <row r="365" spans="1:10" x14ac:dyDescent="0.3">
      <c r="A365" s="2" t="s">
        <v>96</v>
      </c>
      <c r="B365" s="2"/>
      <c r="C365" s="2"/>
      <c r="D365" s="2"/>
      <c r="E365" s="2"/>
      <c r="F365" s="2"/>
      <c r="G365" s="2"/>
      <c r="H365" s="2"/>
    </row>
    <row r="385" spans="1:8" x14ac:dyDescent="0.3">
      <c r="A385" s="34" t="s">
        <v>97</v>
      </c>
      <c r="B385" s="34"/>
      <c r="C385" s="34"/>
      <c r="D385" s="34"/>
      <c r="E385" s="34"/>
      <c r="F385" s="34"/>
    </row>
    <row r="387" spans="1:8" x14ac:dyDescent="0.3">
      <c r="A387" s="2" t="s">
        <v>23</v>
      </c>
      <c r="B387" s="11">
        <f>MODE(A347:J356)</f>
        <v>4</v>
      </c>
    </row>
    <row r="389" spans="1:8" x14ac:dyDescent="0.3">
      <c r="A389" s="34" t="s">
        <v>98</v>
      </c>
      <c r="B389" s="34"/>
      <c r="C389" s="34"/>
      <c r="D389" s="34"/>
      <c r="E389" s="34"/>
      <c r="F389" s="34"/>
      <c r="G389" s="34"/>
      <c r="H389" s="34"/>
    </row>
    <row r="408" spans="1:13" x14ac:dyDescent="0.3">
      <c r="A408" s="34" t="s">
        <v>101</v>
      </c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</row>
    <row r="410" spans="1:13" x14ac:dyDescent="0.3">
      <c r="A410" t="s">
        <v>1</v>
      </c>
    </row>
    <row r="412" spans="1:13" x14ac:dyDescent="0.3">
      <c r="A412" s="37" t="s">
        <v>105</v>
      </c>
      <c r="B412" s="37"/>
      <c r="C412" s="37"/>
      <c r="D412" s="37"/>
      <c r="E412" s="37"/>
      <c r="F412" s="37"/>
      <c r="G412" s="37"/>
      <c r="H412" s="37"/>
    </row>
    <row r="415" spans="1:13" x14ac:dyDescent="0.3">
      <c r="A415" t="s">
        <v>102</v>
      </c>
    </row>
    <row r="417" spans="1:10" x14ac:dyDescent="0.3">
      <c r="A417" s="16">
        <v>35</v>
      </c>
      <c r="B417" s="16">
        <v>28</v>
      </c>
      <c r="C417" s="16">
        <v>32</v>
      </c>
      <c r="D417" s="16">
        <v>45</v>
      </c>
      <c r="E417" s="16">
        <v>38</v>
      </c>
      <c r="F417" s="16">
        <v>29</v>
      </c>
      <c r="G417" s="16">
        <v>42</v>
      </c>
      <c r="H417" s="16">
        <v>30</v>
      </c>
      <c r="I417" s="16">
        <v>36</v>
      </c>
      <c r="J417" s="16">
        <v>41</v>
      </c>
    </row>
    <row r="418" spans="1:10" x14ac:dyDescent="0.3">
      <c r="A418" s="16">
        <v>47</v>
      </c>
      <c r="B418" s="16">
        <v>31</v>
      </c>
      <c r="C418" s="16">
        <v>39</v>
      </c>
      <c r="D418" s="16">
        <v>43</v>
      </c>
      <c r="E418" s="16">
        <v>37</v>
      </c>
      <c r="F418" s="16">
        <v>30</v>
      </c>
      <c r="G418" s="16">
        <v>34</v>
      </c>
      <c r="H418" s="16">
        <v>39</v>
      </c>
      <c r="I418" s="16">
        <v>28</v>
      </c>
      <c r="J418" s="16">
        <v>33</v>
      </c>
    </row>
    <row r="419" spans="1:10" x14ac:dyDescent="0.3">
      <c r="A419" s="16">
        <v>36</v>
      </c>
      <c r="B419" s="16">
        <v>40</v>
      </c>
      <c r="C419" s="16">
        <v>42</v>
      </c>
      <c r="D419" s="16">
        <v>29</v>
      </c>
      <c r="E419" s="16">
        <v>31</v>
      </c>
      <c r="F419" s="16">
        <v>45</v>
      </c>
      <c r="G419" s="16">
        <v>38</v>
      </c>
      <c r="H419" s="16">
        <v>33</v>
      </c>
      <c r="I419" s="16">
        <v>41</v>
      </c>
      <c r="J419" s="16">
        <v>35</v>
      </c>
    </row>
    <row r="420" spans="1:10" x14ac:dyDescent="0.3">
      <c r="A420" s="16">
        <v>37</v>
      </c>
      <c r="B420" s="16">
        <v>34</v>
      </c>
      <c r="C420" s="16">
        <v>46</v>
      </c>
      <c r="D420" s="16">
        <v>30</v>
      </c>
      <c r="E420" s="16">
        <v>39</v>
      </c>
      <c r="F420" s="16">
        <v>43</v>
      </c>
      <c r="G420" s="16">
        <v>28</v>
      </c>
      <c r="H420" s="16">
        <v>32</v>
      </c>
      <c r="I420" s="16">
        <v>36</v>
      </c>
      <c r="J420" s="16">
        <v>29</v>
      </c>
    </row>
    <row r="421" spans="1:10" x14ac:dyDescent="0.3">
      <c r="A421" s="16">
        <v>31</v>
      </c>
      <c r="B421" s="16">
        <v>37</v>
      </c>
      <c r="C421" s="16">
        <v>40</v>
      </c>
      <c r="D421" s="16">
        <v>42</v>
      </c>
      <c r="E421" s="16">
        <v>33</v>
      </c>
      <c r="F421" s="16">
        <v>39</v>
      </c>
      <c r="G421" s="16">
        <v>28</v>
      </c>
      <c r="H421" s="16">
        <v>35</v>
      </c>
      <c r="I421" s="16">
        <v>38</v>
      </c>
      <c r="J421" s="16">
        <v>43</v>
      </c>
    </row>
    <row r="423" spans="1:10" x14ac:dyDescent="0.3">
      <c r="A423" t="s">
        <v>103</v>
      </c>
    </row>
    <row r="425" spans="1:10" x14ac:dyDescent="0.3">
      <c r="A425" t="s">
        <v>109</v>
      </c>
    </row>
    <row r="427" spans="1:10" x14ac:dyDescent="0.3">
      <c r="A427">
        <v>35</v>
      </c>
    </row>
    <row r="428" spans="1:10" x14ac:dyDescent="0.3">
      <c r="A428">
        <v>28</v>
      </c>
    </row>
    <row r="429" spans="1:10" x14ac:dyDescent="0.3">
      <c r="A429">
        <v>32</v>
      </c>
    </row>
    <row r="430" spans="1:10" x14ac:dyDescent="0.3">
      <c r="A430">
        <v>45</v>
      </c>
    </row>
    <row r="431" spans="1:10" x14ac:dyDescent="0.3">
      <c r="A431">
        <v>38</v>
      </c>
    </row>
    <row r="432" spans="1:10" x14ac:dyDescent="0.3">
      <c r="A432">
        <v>29</v>
      </c>
    </row>
    <row r="433" spans="1:1" x14ac:dyDescent="0.3">
      <c r="A433">
        <v>42</v>
      </c>
    </row>
    <row r="434" spans="1:1" x14ac:dyDescent="0.3">
      <c r="A434">
        <v>30</v>
      </c>
    </row>
    <row r="435" spans="1:1" x14ac:dyDescent="0.3">
      <c r="A435">
        <v>36</v>
      </c>
    </row>
    <row r="436" spans="1:1" x14ac:dyDescent="0.3">
      <c r="A436">
        <v>41</v>
      </c>
    </row>
    <row r="437" spans="1:1" x14ac:dyDescent="0.3">
      <c r="A437">
        <v>47</v>
      </c>
    </row>
    <row r="438" spans="1:1" x14ac:dyDescent="0.3">
      <c r="A438">
        <v>31</v>
      </c>
    </row>
    <row r="439" spans="1:1" x14ac:dyDescent="0.3">
      <c r="A439">
        <v>39</v>
      </c>
    </row>
    <row r="440" spans="1:1" x14ac:dyDescent="0.3">
      <c r="A440">
        <v>43</v>
      </c>
    </row>
    <row r="441" spans="1:1" x14ac:dyDescent="0.3">
      <c r="A441">
        <v>37</v>
      </c>
    </row>
    <row r="442" spans="1:1" x14ac:dyDescent="0.3">
      <c r="A442">
        <v>30</v>
      </c>
    </row>
    <row r="443" spans="1:1" x14ac:dyDescent="0.3">
      <c r="A443">
        <v>34</v>
      </c>
    </row>
    <row r="444" spans="1:1" x14ac:dyDescent="0.3">
      <c r="A444">
        <v>39</v>
      </c>
    </row>
    <row r="445" spans="1:1" x14ac:dyDescent="0.3">
      <c r="A445">
        <v>28</v>
      </c>
    </row>
    <row r="446" spans="1:1" x14ac:dyDescent="0.3">
      <c r="A446">
        <v>33</v>
      </c>
    </row>
    <row r="447" spans="1:1" x14ac:dyDescent="0.3">
      <c r="A447">
        <v>36</v>
      </c>
    </row>
    <row r="448" spans="1:1" x14ac:dyDescent="0.3">
      <c r="A448">
        <v>40</v>
      </c>
    </row>
    <row r="449" spans="1:20" x14ac:dyDescent="0.3">
      <c r="A449">
        <v>42</v>
      </c>
    </row>
    <row r="450" spans="1:20" x14ac:dyDescent="0.3">
      <c r="A450">
        <v>29</v>
      </c>
    </row>
    <row r="451" spans="1:20" x14ac:dyDescent="0.3">
      <c r="A451">
        <v>31</v>
      </c>
    </row>
    <row r="452" spans="1:20" x14ac:dyDescent="0.3">
      <c r="A452">
        <v>45</v>
      </c>
    </row>
    <row r="453" spans="1:20" x14ac:dyDescent="0.3">
      <c r="A453">
        <v>38</v>
      </c>
    </row>
    <row r="454" spans="1:20" x14ac:dyDescent="0.3">
      <c r="A454">
        <v>33</v>
      </c>
    </row>
    <row r="455" spans="1:20" x14ac:dyDescent="0.3">
      <c r="A455">
        <v>41</v>
      </c>
    </row>
    <row r="456" spans="1:20" x14ac:dyDescent="0.3">
      <c r="A456">
        <v>35</v>
      </c>
    </row>
    <row r="457" spans="1:20" x14ac:dyDescent="0.3">
      <c r="A457">
        <v>37</v>
      </c>
    </row>
    <row r="458" spans="1:20" x14ac:dyDescent="0.3">
      <c r="A458">
        <v>34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x14ac:dyDescent="0.3">
      <c r="A459">
        <v>46</v>
      </c>
      <c r="B459" s="2"/>
      <c r="M459" s="2"/>
      <c r="N459" s="2"/>
      <c r="O459" s="2"/>
      <c r="P459" s="2"/>
      <c r="Q459" s="2"/>
      <c r="R459" s="2"/>
      <c r="S459" s="2"/>
      <c r="T459" s="2"/>
    </row>
    <row r="460" spans="1:20" x14ac:dyDescent="0.3">
      <c r="A460">
        <v>30</v>
      </c>
      <c r="B460" s="2"/>
      <c r="M460" s="2"/>
      <c r="N460" s="2"/>
      <c r="O460" s="2"/>
      <c r="P460" s="2"/>
      <c r="Q460" s="2"/>
      <c r="R460" s="2"/>
      <c r="S460" s="2"/>
      <c r="T460" s="2"/>
    </row>
    <row r="461" spans="1:20" x14ac:dyDescent="0.3">
      <c r="A461">
        <v>39</v>
      </c>
      <c r="B461" s="2"/>
      <c r="M461" s="2"/>
      <c r="N461" s="2"/>
      <c r="O461" s="2"/>
      <c r="P461" s="2"/>
      <c r="Q461" s="2"/>
      <c r="R461" s="2"/>
      <c r="S461" s="2"/>
      <c r="T461" s="2"/>
    </row>
    <row r="462" spans="1:20" x14ac:dyDescent="0.3">
      <c r="A462">
        <v>43</v>
      </c>
      <c r="B462" s="2"/>
      <c r="M462" s="2"/>
      <c r="N462" s="2"/>
      <c r="O462" s="2"/>
      <c r="P462" s="2"/>
      <c r="Q462" s="2"/>
      <c r="R462" s="2"/>
      <c r="S462" s="2"/>
      <c r="T462" s="2"/>
    </row>
    <row r="463" spans="1:20" x14ac:dyDescent="0.3">
      <c r="A463">
        <v>28</v>
      </c>
      <c r="B463" s="2"/>
      <c r="M463" s="2"/>
      <c r="N463" s="2"/>
      <c r="O463" s="2"/>
      <c r="P463" s="2"/>
      <c r="Q463" s="2"/>
      <c r="R463" s="2"/>
      <c r="S463" s="2"/>
      <c r="T463" s="2"/>
    </row>
    <row r="464" spans="1:20" x14ac:dyDescent="0.3">
      <c r="A464">
        <v>32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x14ac:dyDescent="0.3">
      <c r="A465">
        <v>36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x14ac:dyDescent="0.3">
      <c r="A466">
        <v>29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x14ac:dyDescent="0.3">
      <c r="A467">
        <v>31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x14ac:dyDescent="0.3">
      <c r="A468">
        <v>37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x14ac:dyDescent="0.3">
      <c r="A469">
        <v>40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x14ac:dyDescent="0.3">
      <c r="A470">
        <v>42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x14ac:dyDescent="0.3">
      <c r="A471">
        <v>33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x14ac:dyDescent="0.3">
      <c r="A472">
        <v>39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x14ac:dyDescent="0.3">
      <c r="A473">
        <v>28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x14ac:dyDescent="0.3">
      <c r="A474">
        <v>35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x14ac:dyDescent="0.3">
      <c r="A475">
        <v>38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x14ac:dyDescent="0.3">
      <c r="A476">
        <v>43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x14ac:dyDescent="0.3">
      <c r="A479" s="34" t="s">
        <v>104</v>
      </c>
      <c r="B479" s="34"/>
      <c r="C479" s="34"/>
      <c r="D479" s="34"/>
      <c r="E479" s="34"/>
      <c r="F479" s="34"/>
      <c r="G479" s="34"/>
      <c r="H479" s="34"/>
    </row>
    <row r="499" spans="1:8" x14ac:dyDescent="0.3">
      <c r="A499" s="34" t="s">
        <v>106</v>
      </c>
      <c r="B499" s="34"/>
      <c r="C499" s="34"/>
      <c r="D499" s="34"/>
      <c r="E499" s="34"/>
      <c r="F499" s="34"/>
      <c r="G499" s="34"/>
      <c r="H499" s="34"/>
    </row>
    <row r="501" spans="1:8" x14ac:dyDescent="0.3">
      <c r="B501" s="3" t="s">
        <v>107</v>
      </c>
      <c r="C501" s="3">
        <f>AVERAGE(A417:J421)</f>
        <v>36.14</v>
      </c>
    </row>
    <row r="503" spans="1:8" x14ac:dyDescent="0.3">
      <c r="A503" s="34" t="s">
        <v>108</v>
      </c>
      <c r="B503" s="34"/>
      <c r="C503" s="34"/>
      <c r="D503" s="34"/>
      <c r="E503" s="34"/>
      <c r="F503" s="34"/>
      <c r="G503" s="34"/>
      <c r="H503" s="34"/>
    </row>
    <row r="522" spans="1:10" x14ac:dyDescent="0.3">
      <c r="A522" s="34" t="s">
        <v>110</v>
      </c>
      <c r="B522" s="34"/>
      <c r="C522" s="34"/>
      <c r="D522" s="34"/>
      <c r="E522" s="34"/>
      <c r="F522" s="34"/>
      <c r="G522" s="34"/>
      <c r="H522" s="34"/>
      <c r="I522" s="34"/>
      <c r="J522" s="34"/>
    </row>
    <row r="524" spans="1:10" x14ac:dyDescent="0.3">
      <c r="A524" t="s">
        <v>1</v>
      </c>
    </row>
    <row r="526" spans="1:10" x14ac:dyDescent="0.3">
      <c r="A526" s="37" t="s">
        <v>111</v>
      </c>
      <c r="B526" s="37"/>
      <c r="C526" s="37"/>
      <c r="D526" s="37"/>
      <c r="E526" s="37"/>
      <c r="F526" s="37"/>
      <c r="G526" s="37"/>
      <c r="H526" s="37"/>
    </row>
    <row r="528" spans="1:10" x14ac:dyDescent="0.3">
      <c r="A528" s="37" t="s">
        <v>112</v>
      </c>
      <c r="B528" s="37"/>
    </row>
    <row r="530" spans="1:25" x14ac:dyDescent="0.3">
      <c r="A530" s="16">
        <v>125</v>
      </c>
      <c r="B530" s="16">
        <v>148</v>
      </c>
      <c r="C530" s="16">
        <v>137</v>
      </c>
      <c r="D530" s="16">
        <v>120</v>
      </c>
      <c r="E530" s="16">
        <v>135</v>
      </c>
      <c r="F530" s="16">
        <v>132</v>
      </c>
      <c r="G530" s="16">
        <v>145</v>
      </c>
      <c r="H530" s="16">
        <v>122</v>
      </c>
      <c r="I530" s="16">
        <v>130</v>
      </c>
      <c r="J530" s="16">
        <v>141</v>
      </c>
    </row>
    <row r="531" spans="1:25" x14ac:dyDescent="0.3">
      <c r="A531" s="16">
        <v>118</v>
      </c>
      <c r="B531" s="16">
        <v>125</v>
      </c>
      <c r="C531" s="16">
        <v>132</v>
      </c>
      <c r="D531" s="16">
        <v>136</v>
      </c>
      <c r="E531" s="16">
        <v>128</v>
      </c>
      <c r="F531" s="16">
        <v>123</v>
      </c>
      <c r="G531" s="16">
        <v>132</v>
      </c>
      <c r="H531" s="16">
        <v>138</v>
      </c>
      <c r="I531" s="16">
        <v>126</v>
      </c>
      <c r="J531" s="16">
        <v>129</v>
      </c>
    </row>
    <row r="532" spans="1:25" x14ac:dyDescent="0.3">
      <c r="A532" s="16">
        <v>136</v>
      </c>
      <c r="B532" s="16">
        <v>127</v>
      </c>
      <c r="C532" s="16">
        <v>130</v>
      </c>
      <c r="D532" s="16">
        <v>122</v>
      </c>
      <c r="E532" s="16">
        <v>125</v>
      </c>
      <c r="F532" s="16">
        <v>133</v>
      </c>
      <c r="G532" s="16">
        <v>140</v>
      </c>
      <c r="H532" s="16">
        <v>126</v>
      </c>
      <c r="I532" s="16">
        <v>133</v>
      </c>
      <c r="J532" s="16">
        <v>135</v>
      </c>
    </row>
    <row r="533" spans="1:25" x14ac:dyDescent="0.3">
      <c r="A533" s="16">
        <v>130</v>
      </c>
      <c r="B533" s="16">
        <v>134</v>
      </c>
      <c r="C533" s="16">
        <v>141</v>
      </c>
      <c r="D533" s="16">
        <v>119</v>
      </c>
      <c r="E533" s="16">
        <v>125</v>
      </c>
      <c r="F533" s="16">
        <v>131</v>
      </c>
      <c r="G533" s="16">
        <v>136</v>
      </c>
      <c r="H533" s="16">
        <v>128</v>
      </c>
      <c r="I533" s="16">
        <v>124</v>
      </c>
      <c r="J533" s="16">
        <v>132</v>
      </c>
    </row>
    <row r="534" spans="1:25" x14ac:dyDescent="0.3">
      <c r="A534" s="16">
        <v>136</v>
      </c>
      <c r="B534" s="16">
        <v>127</v>
      </c>
      <c r="C534" s="16">
        <v>130</v>
      </c>
      <c r="D534" s="16">
        <v>122</v>
      </c>
      <c r="E534" s="16">
        <v>125</v>
      </c>
      <c r="F534" s="16">
        <v>133</v>
      </c>
      <c r="G534" s="16">
        <v>140</v>
      </c>
      <c r="H534" s="16">
        <v>126</v>
      </c>
      <c r="I534" s="16">
        <v>133</v>
      </c>
      <c r="J534" s="16">
        <v>135</v>
      </c>
    </row>
    <row r="535" spans="1:25" x14ac:dyDescent="0.3">
      <c r="A535" s="16">
        <v>130</v>
      </c>
      <c r="B535" s="16">
        <v>134</v>
      </c>
      <c r="C535" s="16">
        <v>141</v>
      </c>
      <c r="D535" s="16">
        <v>119</v>
      </c>
      <c r="E535" s="16">
        <v>125</v>
      </c>
      <c r="F535" s="16">
        <v>131</v>
      </c>
      <c r="G535" s="16">
        <v>136</v>
      </c>
      <c r="H535" s="16">
        <v>128</v>
      </c>
      <c r="I535" s="16">
        <v>124</v>
      </c>
      <c r="J535" s="16">
        <v>132</v>
      </c>
    </row>
    <row r="536" spans="1:25" x14ac:dyDescent="0.3">
      <c r="A536" s="16">
        <v>136</v>
      </c>
      <c r="B536" s="16">
        <v>127</v>
      </c>
      <c r="C536" s="16">
        <v>130</v>
      </c>
      <c r="D536" s="16">
        <v>122</v>
      </c>
      <c r="E536" s="16">
        <v>125</v>
      </c>
      <c r="F536" s="16">
        <v>133</v>
      </c>
      <c r="G536" s="16">
        <v>140</v>
      </c>
      <c r="H536" s="16">
        <v>126</v>
      </c>
      <c r="I536" s="16">
        <v>133</v>
      </c>
      <c r="J536" s="16">
        <v>135</v>
      </c>
    </row>
    <row r="537" spans="1:25" x14ac:dyDescent="0.3">
      <c r="A537" s="16">
        <v>130</v>
      </c>
      <c r="B537" s="16">
        <v>134</v>
      </c>
      <c r="C537" s="16">
        <v>141</v>
      </c>
      <c r="D537" s="16">
        <v>119</v>
      </c>
      <c r="E537" s="16">
        <v>125</v>
      </c>
      <c r="F537" s="16">
        <v>131</v>
      </c>
      <c r="G537" s="16">
        <v>136</v>
      </c>
      <c r="H537" s="16">
        <v>128</v>
      </c>
      <c r="I537" s="16">
        <v>124</v>
      </c>
      <c r="J537" s="16">
        <v>132</v>
      </c>
    </row>
    <row r="538" spans="1:25" x14ac:dyDescent="0.3">
      <c r="A538" s="16">
        <v>136</v>
      </c>
      <c r="B538" s="16">
        <v>127</v>
      </c>
      <c r="C538" s="16">
        <v>130</v>
      </c>
      <c r="D538" s="16">
        <v>122</v>
      </c>
      <c r="E538" s="16">
        <v>125</v>
      </c>
      <c r="F538" s="16">
        <v>133</v>
      </c>
      <c r="G538" s="16">
        <v>140</v>
      </c>
      <c r="H538" s="16">
        <v>126</v>
      </c>
      <c r="I538" s="16">
        <v>133</v>
      </c>
      <c r="J538" s="16">
        <v>135</v>
      </c>
    </row>
    <row r="539" spans="1:25" x14ac:dyDescent="0.3">
      <c r="A539" s="16">
        <v>130</v>
      </c>
      <c r="B539" s="16">
        <v>134</v>
      </c>
      <c r="C539" s="16">
        <v>141</v>
      </c>
      <c r="D539" s="16">
        <v>119</v>
      </c>
      <c r="E539" s="16">
        <v>125</v>
      </c>
      <c r="F539" s="16">
        <v>131</v>
      </c>
      <c r="G539" s="16">
        <v>136</v>
      </c>
      <c r="H539" s="16">
        <v>128</v>
      </c>
      <c r="I539" s="16">
        <v>124</v>
      </c>
      <c r="J539" s="16">
        <v>132</v>
      </c>
    </row>
    <row r="541" spans="1:25" x14ac:dyDescent="0.3">
      <c r="A541" t="s">
        <v>34</v>
      </c>
    </row>
    <row r="543" spans="1:25" x14ac:dyDescent="0.3">
      <c r="A543" s="3" t="s">
        <v>114</v>
      </c>
      <c r="B543" s="3">
        <v>118</v>
      </c>
      <c r="C543" s="3">
        <v>119</v>
      </c>
      <c r="D543" s="3">
        <v>120</v>
      </c>
      <c r="E543" s="3">
        <v>122</v>
      </c>
      <c r="F543" s="3">
        <v>123</v>
      </c>
      <c r="G543" s="3">
        <v>124</v>
      </c>
      <c r="H543" s="3">
        <v>125</v>
      </c>
      <c r="I543" s="3">
        <v>126</v>
      </c>
      <c r="J543" s="3">
        <v>127</v>
      </c>
      <c r="K543" s="3">
        <v>128</v>
      </c>
      <c r="L543" s="3">
        <v>129</v>
      </c>
      <c r="M543" s="3">
        <v>130</v>
      </c>
      <c r="N543" s="3">
        <v>131</v>
      </c>
      <c r="O543" s="3">
        <v>132</v>
      </c>
      <c r="P543" s="3">
        <v>133</v>
      </c>
      <c r="Q543" s="3">
        <v>134</v>
      </c>
      <c r="R543" s="3">
        <v>135</v>
      </c>
      <c r="S543" s="3">
        <v>136</v>
      </c>
      <c r="T543" s="3">
        <v>137</v>
      </c>
      <c r="U543" s="3">
        <v>138</v>
      </c>
      <c r="V543" s="3">
        <v>140</v>
      </c>
      <c r="W543" s="3">
        <v>141</v>
      </c>
      <c r="X543" s="3">
        <v>145</v>
      </c>
      <c r="Y543" s="3">
        <v>148</v>
      </c>
    </row>
    <row r="544" spans="1:25" x14ac:dyDescent="0.3">
      <c r="A544" s="3" t="s">
        <v>115</v>
      </c>
      <c r="B544" s="3">
        <f>COUNTIF($A$530:$J$539,B543)</f>
        <v>1</v>
      </c>
      <c r="C544" s="3">
        <f t="shared" ref="C544:Y544" si="11">COUNTIF($A$530:$J$539,C543)</f>
        <v>4</v>
      </c>
      <c r="D544" s="3">
        <f t="shared" si="11"/>
        <v>1</v>
      </c>
      <c r="E544" s="3">
        <f t="shared" si="11"/>
        <v>5</v>
      </c>
      <c r="F544" s="3">
        <f t="shared" si="11"/>
        <v>1</v>
      </c>
      <c r="G544" s="3">
        <f t="shared" si="11"/>
        <v>4</v>
      </c>
      <c r="H544" s="3">
        <f t="shared" si="11"/>
        <v>10</v>
      </c>
      <c r="I544" s="3">
        <f t="shared" si="11"/>
        <v>5</v>
      </c>
      <c r="J544" s="3">
        <f t="shared" si="11"/>
        <v>4</v>
      </c>
      <c r="K544" s="3">
        <f t="shared" si="11"/>
        <v>5</v>
      </c>
      <c r="L544" s="3">
        <f t="shared" si="11"/>
        <v>1</v>
      </c>
      <c r="M544" s="3">
        <f t="shared" si="11"/>
        <v>9</v>
      </c>
      <c r="N544" s="3">
        <f t="shared" si="11"/>
        <v>4</v>
      </c>
      <c r="O544" s="3">
        <f t="shared" si="11"/>
        <v>7</v>
      </c>
      <c r="P544" s="3">
        <f t="shared" si="11"/>
        <v>8</v>
      </c>
      <c r="Q544" s="3">
        <f t="shared" si="11"/>
        <v>4</v>
      </c>
      <c r="R544" s="3">
        <f t="shared" si="11"/>
        <v>5</v>
      </c>
      <c r="S544" s="3">
        <f t="shared" si="11"/>
        <v>9</v>
      </c>
      <c r="T544" s="3">
        <f t="shared" si="11"/>
        <v>1</v>
      </c>
      <c r="U544" s="3">
        <f t="shared" si="11"/>
        <v>1</v>
      </c>
      <c r="V544" s="3">
        <f t="shared" si="11"/>
        <v>4</v>
      </c>
      <c r="W544" s="3">
        <f t="shared" si="11"/>
        <v>5</v>
      </c>
      <c r="X544" s="3">
        <f t="shared" si="11"/>
        <v>1</v>
      </c>
      <c r="Y544" s="3">
        <f t="shared" si="11"/>
        <v>1</v>
      </c>
    </row>
    <row r="547" spans="1:7" x14ac:dyDescent="0.3">
      <c r="A547" s="34" t="s">
        <v>113</v>
      </c>
      <c r="B547" s="34"/>
      <c r="C547" s="34"/>
      <c r="D547" s="34"/>
      <c r="E547" s="34"/>
      <c r="F547" s="34"/>
      <c r="G547" s="34"/>
    </row>
    <row r="566" spans="1:9" x14ac:dyDescent="0.3">
      <c r="A566" s="34" t="s">
        <v>116</v>
      </c>
      <c r="B566" s="34"/>
      <c r="C566" s="34"/>
      <c r="D566" s="34"/>
      <c r="E566" s="34"/>
      <c r="F566" s="34"/>
    </row>
    <row r="568" spans="1:9" x14ac:dyDescent="0.3">
      <c r="A568" s="2" t="s">
        <v>117</v>
      </c>
      <c r="B568" s="3">
        <f>AVERAGE(A530:J539)</f>
        <v>130.5</v>
      </c>
    </row>
    <row r="570" spans="1:9" x14ac:dyDescent="0.3">
      <c r="A570" s="2" t="s">
        <v>118</v>
      </c>
      <c r="B570" s="2"/>
      <c r="C570" s="2"/>
      <c r="D570" s="2"/>
      <c r="E570" s="2"/>
      <c r="F570" s="2"/>
      <c r="G570" s="2"/>
      <c r="H570" s="2"/>
      <c r="I570" s="2"/>
    </row>
    <row r="589" spans="1:9" x14ac:dyDescent="0.3">
      <c r="A589" s="34" t="s">
        <v>119</v>
      </c>
      <c r="B589" s="34"/>
      <c r="C589" s="34"/>
      <c r="D589" s="34"/>
      <c r="E589" s="34"/>
      <c r="F589" s="34"/>
      <c r="G589" s="34"/>
      <c r="H589" s="34"/>
      <c r="I589" s="34"/>
    </row>
    <row r="591" spans="1:9" x14ac:dyDescent="0.3">
      <c r="A591" t="s">
        <v>1</v>
      </c>
    </row>
    <row r="593" spans="1:11" x14ac:dyDescent="0.3">
      <c r="A593" t="s">
        <v>120</v>
      </c>
    </row>
    <row r="595" spans="1:11" x14ac:dyDescent="0.3">
      <c r="A595" s="16" t="s">
        <v>121</v>
      </c>
      <c r="B595" s="16">
        <v>45</v>
      </c>
      <c r="C595" s="16">
        <v>35</v>
      </c>
      <c r="D595" s="16">
        <v>40</v>
      </c>
      <c r="E595" s="16">
        <v>38</v>
      </c>
      <c r="F595" s="16">
        <v>42</v>
      </c>
      <c r="G595" s="16">
        <v>37</v>
      </c>
      <c r="H595" s="16">
        <v>39</v>
      </c>
      <c r="I595" s="16">
        <v>43</v>
      </c>
      <c r="J595" s="16">
        <v>44</v>
      </c>
      <c r="K595" s="16">
        <v>41</v>
      </c>
    </row>
    <row r="596" spans="1:11" x14ac:dyDescent="0.3">
      <c r="A596" s="16" t="s">
        <v>122</v>
      </c>
      <c r="B596" s="16">
        <v>32</v>
      </c>
      <c r="C596" s="16">
        <v>28</v>
      </c>
      <c r="D596" s="16">
        <v>30</v>
      </c>
      <c r="E596" s="16">
        <v>34</v>
      </c>
      <c r="F596" s="16">
        <v>33</v>
      </c>
      <c r="G596" s="16">
        <v>35</v>
      </c>
      <c r="H596" s="16">
        <v>31</v>
      </c>
      <c r="I596" s="16">
        <v>29</v>
      </c>
      <c r="J596" s="16">
        <v>36</v>
      </c>
      <c r="K596" s="16">
        <v>37</v>
      </c>
    </row>
    <row r="597" spans="1:11" x14ac:dyDescent="0.3">
      <c r="A597" s="16" t="s">
        <v>123</v>
      </c>
      <c r="B597" s="16">
        <v>40</v>
      </c>
      <c r="C597" s="16">
        <v>39</v>
      </c>
      <c r="D597" s="16">
        <v>42</v>
      </c>
      <c r="E597" s="16">
        <v>41</v>
      </c>
      <c r="F597" s="16">
        <v>38</v>
      </c>
      <c r="G597" s="16">
        <v>43</v>
      </c>
      <c r="H597" s="16">
        <v>45</v>
      </c>
      <c r="I597" s="16">
        <v>44</v>
      </c>
      <c r="J597" s="16">
        <v>41</v>
      </c>
      <c r="K597" s="16">
        <v>37</v>
      </c>
    </row>
    <row r="599" spans="1:11" x14ac:dyDescent="0.3">
      <c r="A599" t="s">
        <v>34</v>
      </c>
    </row>
    <row r="601" spans="1:11" x14ac:dyDescent="0.3">
      <c r="A601" s="34" t="s">
        <v>124</v>
      </c>
      <c r="B601" s="34"/>
      <c r="C601" s="34"/>
      <c r="D601" s="34"/>
      <c r="E601" s="34"/>
      <c r="F601" s="34"/>
      <c r="G601" s="34"/>
      <c r="H601" s="34"/>
    </row>
    <row r="620" spans="1:7" x14ac:dyDescent="0.3">
      <c r="A620" s="34" t="s">
        <v>125</v>
      </c>
      <c r="B620" s="34"/>
      <c r="C620" s="34"/>
      <c r="D620" s="34"/>
      <c r="E620" s="34"/>
      <c r="F620" s="34"/>
      <c r="G620" s="34"/>
    </row>
    <row r="622" spans="1:7" x14ac:dyDescent="0.3">
      <c r="B622" s="2" t="s">
        <v>117</v>
      </c>
      <c r="C622" s="18" t="s">
        <v>121</v>
      </c>
      <c r="D622" s="3">
        <f>AVERAGE(B595:K595)</f>
        <v>40.4</v>
      </c>
    </row>
    <row r="623" spans="1:7" x14ac:dyDescent="0.3">
      <c r="C623" s="18" t="s">
        <v>122</v>
      </c>
      <c r="D623" s="3">
        <f t="shared" ref="D623:D624" si="12">AVERAGE(B596:K596)</f>
        <v>32.5</v>
      </c>
    </row>
    <row r="624" spans="1:7" x14ac:dyDescent="0.3">
      <c r="C624" s="18" t="s">
        <v>123</v>
      </c>
      <c r="D624" s="3">
        <f t="shared" si="12"/>
        <v>41</v>
      </c>
    </row>
    <row r="626" spans="1:7" x14ac:dyDescent="0.3">
      <c r="A626" s="34" t="s">
        <v>126</v>
      </c>
      <c r="B626" s="34"/>
      <c r="C626" s="34"/>
      <c r="D626" s="34"/>
      <c r="E626" s="34"/>
      <c r="F626" s="34"/>
      <c r="G626" s="34"/>
    </row>
    <row r="628" spans="1:7" x14ac:dyDescent="0.3">
      <c r="A628" s="39" t="s">
        <v>127</v>
      </c>
      <c r="B628" s="39"/>
    </row>
    <row r="629" spans="1:7" x14ac:dyDescent="0.3">
      <c r="A629" s="39"/>
      <c r="B629" s="39"/>
      <c r="C629" s="18" t="s">
        <v>121</v>
      </c>
      <c r="D629" s="3">
        <f>MAX(B595:K595)-MIN(B595:K595)</f>
        <v>10</v>
      </c>
    </row>
    <row r="630" spans="1:7" x14ac:dyDescent="0.3">
      <c r="A630" s="39"/>
      <c r="B630" s="39"/>
      <c r="C630" s="18" t="s">
        <v>122</v>
      </c>
      <c r="D630" s="3">
        <f t="shared" ref="D630:D631" si="13">MAX(B596:K596)-MIN(B596:K596)</f>
        <v>9</v>
      </c>
    </row>
    <row r="631" spans="1:7" x14ac:dyDescent="0.3">
      <c r="A631" s="39"/>
      <c r="B631" s="39"/>
      <c r="C631" s="18" t="s">
        <v>123</v>
      </c>
      <c r="D631" s="3">
        <f t="shared" si="13"/>
        <v>8</v>
      </c>
    </row>
    <row r="632" spans="1:7" x14ac:dyDescent="0.3">
      <c r="A632" s="39"/>
      <c r="B632" s="39"/>
    </row>
  </sheetData>
  <dataConsolidate/>
  <mergeCells count="76">
    <mergeCell ref="A626:G626"/>
    <mergeCell ref="A628:B632"/>
    <mergeCell ref="A589:I589"/>
    <mergeCell ref="A601:H601"/>
    <mergeCell ref="A620:G620"/>
    <mergeCell ref="A522:J522"/>
    <mergeCell ref="A526:H526"/>
    <mergeCell ref="A528:B528"/>
    <mergeCell ref="A547:G547"/>
    <mergeCell ref="A566:F566"/>
    <mergeCell ref="A408:M408"/>
    <mergeCell ref="A412:H412"/>
    <mergeCell ref="A479:H479"/>
    <mergeCell ref="A499:H499"/>
    <mergeCell ref="A503:H503"/>
    <mergeCell ref="A28:P28"/>
    <mergeCell ref="A286:M286"/>
    <mergeCell ref="A290:J290"/>
    <mergeCell ref="A297:G297"/>
    <mergeCell ref="A316:G316"/>
    <mergeCell ref="A95:H95"/>
    <mergeCell ref="A32:G32"/>
    <mergeCell ref="A43:G43"/>
    <mergeCell ref="A47:H47"/>
    <mergeCell ref="A51:I51"/>
    <mergeCell ref="A59:G59"/>
    <mergeCell ref="A69:H69"/>
    <mergeCell ref="A73:H73"/>
    <mergeCell ref="A77:I77"/>
    <mergeCell ref="A81:M81"/>
    <mergeCell ref="A85:H85"/>
    <mergeCell ref="A2:Q2"/>
    <mergeCell ref="A6:I6"/>
    <mergeCell ref="A13:G13"/>
    <mergeCell ref="A17:H17"/>
    <mergeCell ref="A24:J24"/>
    <mergeCell ref="A176:H176"/>
    <mergeCell ref="A91:H91"/>
    <mergeCell ref="A97:B97"/>
    <mergeCell ref="A99:M99"/>
    <mergeCell ref="A103:F103"/>
    <mergeCell ref="A113:G113"/>
    <mergeCell ref="A127:B127"/>
    <mergeCell ref="A142:I142"/>
    <mergeCell ref="A146:I146"/>
    <mergeCell ref="A148:B148"/>
    <mergeCell ref="A170:A174"/>
    <mergeCell ref="A178:B182"/>
    <mergeCell ref="A184:H184"/>
    <mergeCell ref="A186:A190"/>
    <mergeCell ref="A1:C1"/>
    <mergeCell ref="A385:F385"/>
    <mergeCell ref="A220:E220"/>
    <mergeCell ref="A192:M192"/>
    <mergeCell ref="A196:D196"/>
    <mergeCell ref="A211:H211"/>
    <mergeCell ref="A216:G216"/>
    <mergeCell ref="A117:H117"/>
    <mergeCell ref="A150:J150"/>
    <mergeCell ref="A154:N154"/>
    <mergeCell ref="A158:H158"/>
    <mergeCell ref="A121:M121"/>
    <mergeCell ref="A125:H125"/>
    <mergeCell ref="A389:H389"/>
    <mergeCell ref="A274:H274"/>
    <mergeCell ref="A278:G278"/>
    <mergeCell ref="A224:F224"/>
    <mergeCell ref="A226:B226"/>
    <mergeCell ref="A228:K228"/>
    <mergeCell ref="A232:G232"/>
    <mergeCell ref="A242:H242"/>
    <mergeCell ref="A318:B318"/>
    <mergeCell ref="D318:H318"/>
    <mergeCell ref="A320:G320"/>
    <mergeCell ref="A339:M339"/>
    <mergeCell ref="A343:E3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CBF6-FDE4-47E0-8C2B-8DDE69158C06}">
  <dimension ref="A1:U173"/>
  <sheetViews>
    <sheetView workbookViewId="0">
      <selection activeCell="B9" sqref="B9"/>
    </sheetView>
  </sheetViews>
  <sheetFormatPr defaultRowHeight="14.4" x14ac:dyDescent="0.3"/>
  <cols>
    <col min="1" max="1" width="9.88671875" customWidth="1"/>
    <col min="16" max="16" width="16.33203125" customWidth="1"/>
  </cols>
  <sheetData>
    <row r="1" spans="1:16" x14ac:dyDescent="0.3">
      <c r="A1" s="31" t="s">
        <v>317</v>
      </c>
      <c r="B1" s="31"/>
      <c r="C1" s="31"/>
    </row>
    <row r="2" spans="1:16" x14ac:dyDescent="0.3">
      <c r="A2" s="42" t="s">
        <v>128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x14ac:dyDescent="0.3">
      <c r="A3" t="s">
        <v>129</v>
      </c>
      <c r="O3" s="2" t="s">
        <v>133</v>
      </c>
    </row>
    <row r="4" spans="1:16" x14ac:dyDescent="0.3">
      <c r="A4" t="s">
        <v>131</v>
      </c>
      <c r="O4" s="19">
        <v>-2.5</v>
      </c>
    </row>
    <row r="5" spans="1:16" x14ac:dyDescent="0.3">
      <c r="O5" s="19">
        <v>1.3</v>
      </c>
    </row>
    <row r="6" spans="1:16" x14ac:dyDescent="0.3">
      <c r="A6" s="43" t="s">
        <v>132</v>
      </c>
      <c r="B6" s="43"/>
      <c r="C6" s="43"/>
      <c r="D6" s="43"/>
      <c r="E6" s="43"/>
      <c r="F6" s="43"/>
      <c r="G6" s="43"/>
      <c r="O6" s="19">
        <v>-0.8</v>
      </c>
    </row>
    <row r="7" spans="1:16" x14ac:dyDescent="0.3">
      <c r="O7" s="19">
        <v>-1.9</v>
      </c>
    </row>
    <row r="8" spans="1:16" x14ac:dyDescent="0.3">
      <c r="A8" t="s">
        <v>34</v>
      </c>
      <c r="O8" s="19">
        <v>2.1</v>
      </c>
    </row>
    <row r="9" spans="1:16" x14ac:dyDescent="0.3">
      <c r="O9" s="19">
        <v>0.5</v>
      </c>
    </row>
    <row r="10" spans="1:16" x14ac:dyDescent="0.3">
      <c r="A10" s="34" t="s">
        <v>134</v>
      </c>
      <c r="B10" s="34"/>
      <c r="C10" s="34"/>
      <c r="D10" s="34"/>
      <c r="E10" s="34"/>
      <c r="F10" s="34"/>
      <c r="O10" s="19">
        <v>-1.2</v>
      </c>
    </row>
    <row r="11" spans="1:16" x14ac:dyDescent="0.3">
      <c r="O11" s="19">
        <v>1.8</v>
      </c>
    </row>
    <row r="12" spans="1:16" x14ac:dyDescent="0.3">
      <c r="A12" s="2" t="s">
        <v>137</v>
      </c>
      <c r="B12" s="3">
        <f>SKEW(O4:O53)</f>
        <v>5.4546017084340551E-2</v>
      </c>
      <c r="O12" s="19">
        <v>-0.5</v>
      </c>
    </row>
    <row r="13" spans="1:16" x14ac:dyDescent="0.3">
      <c r="O13" s="19">
        <v>2.2999999999999998</v>
      </c>
    </row>
    <row r="14" spans="1:16" x14ac:dyDescent="0.3">
      <c r="B14" t="s">
        <v>136</v>
      </c>
      <c r="O14" s="19">
        <v>-0.7</v>
      </c>
    </row>
    <row r="15" spans="1:16" x14ac:dyDescent="0.3">
      <c r="A15" s="34" t="s">
        <v>135</v>
      </c>
      <c r="B15" s="34"/>
      <c r="C15" s="34"/>
      <c r="D15" s="34"/>
      <c r="E15" s="34"/>
      <c r="F15" s="34"/>
      <c r="O15" s="19">
        <v>1.2</v>
      </c>
    </row>
    <row r="16" spans="1:16" x14ac:dyDescent="0.3">
      <c r="O16" s="19">
        <v>-1.5</v>
      </c>
    </row>
    <row r="17" spans="1:15" x14ac:dyDescent="0.3">
      <c r="A17" s="2" t="s">
        <v>138</v>
      </c>
      <c r="B17" s="3">
        <f>KURT(O4:O53)</f>
        <v>-1.3042496425917365</v>
      </c>
      <c r="O17" s="19">
        <v>-0.3</v>
      </c>
    </row>
    <row r="18" spans="1:15" x14ac:dyDescent="0.3">
      <c r="O18" s="19">
        <v>2.6</v>
      </c>
    </row>
    <row r="19" spans="1:15" x14ac:dyDescent="0.3">
      <c r="A19" s="2" t="s">
        <v>139</v>
      </c>
      <c r="B19" s="2"/>
      <c r="C19" s="2"/>
      <c r="D19" s="2"/>
      <c r="E19" s="2"/>
      <c r="F19" s="2"/>
      <c r="G19" s="2"/>
      <c r="H19" s="2"/>
      <c r="I19" s="2"/>
      <c r="J19" s="2"/>
      <c r="K19" s="20"/>
      <c r="O19" s="19">
        <v>1.1000000000000001</v>
      </c>
    </row>
    <row r="20" spans="1:15" x14ac:dyDescent="0.3">
      <c r="O20" s="19">
        <v>-1.7</v>
      </c>
    </row>
    <row r="21" spans="1:15" x14ac:dyDescent="0.3">
      <c r="A21" s="2" t="s">
        <v>140</v>
      </c>
      <c r="B21" t="s">
        <v>141</v>
      </c>
      <c r="N21" s="21"/>
      <c r="O21" s="19">
        <v>0.9</v>
      </c>
    </row>
    <row r="22" spans="1:15" x14ac:dyDescent="0.3">
      <c r="B22" t="s">
        <v>142</v>
      </c>
      <c r="O22" s="19">
        <v>-1.4</v>
      </c>
    </row>
    <row r="23" spans="1:15" x14ac:dyDescent="0.3">
      <c r="B23" t="s">
        <v>143</v>
      </c>
      <c r="N23" s="21"/>
      <c r="O23" s="19">
        <v>0.3</v>
      </c>
    </row>
    <row r="24" spans="1:15" x14ac:dyDescent="0.3">
      <c r="O24" s="19">
        <v>1.9</v>
      </c>
    </row>
    <row r="25" spans="1:15" x14ac:dyDescent="0.3">
      <c r="O25" s="19">
        <v>-1.1000000000000001</v>
      </c>
    </row>
    <row r="26" spans="1:15" x14ac:dyDescent="0.3">
      <c r="O26" s="19">
        <v>-0.4</v>
      </c>
    </row>
    <row r="27" spans="1:15" x14ac:dyDescent="0.3">
      <c r="O27" s="19">
        <v>2.2000000000000002</v>
      </c>
    </row>
    <row r="28" spans="1:15" x14ac:dyDescent="0.3">
      <c r="O28" s="19">
        <v>-0.9</v>
      </c>
    </row>
    <row r="29" spans="1:15" x14ac:dyDescent="0.3">
      <c r="O29" s="19">
        <v>1.6</v>
      </c>
    </row>
    <row r="30" spans="1:15" x14ac:dyDescent="0.3">
      <c r="O30" s="19">
        <v>-0.6</v>
      </c>
    </row>
    <row r="31" spans="1:15" x14ac:dyDescent="0.3">
      <c r="O31" s="19">
        <v>-1.3</v>
      </c>
    </row>
    <row r="32" spans="1:15" x14ac:dyDescent="0.3">
      <c r="O32" s="19">
        <v>2.4</v>
      </c>
    </row>
    <row r="33" spans="15:15" x14ac:dyDescent="0.3">
      <c r="O33" s="19">
        <v>0.7</v>
      </c>
    </row>
    <row r="34" spans="15:15" x14ac:dyDescent="0.3">
      <c r="O34" s="19">
        <v>-1.8</v>
      </c>
    </row>
    <row r="35" spans="15:15" x14ac:dyDescent="0.3">
      <c r="O35" s="19">
        <v>1.5</v>
      </c>
    </row>
    <row r="36" spans="15:15" x14ac:dyDescent="0.3">
      <c r="O36" s="19">
        <v>-0.2</v>
      </c>
    </row>
    <row r="37" spans="15:15" x14ac:dyDescent="0.3">
      <c r="O37" s="19">
        <v>-2.1</v>
      </c>
    </row>
    <row r="38" spans="15:15" x14ac:dyDescent="0.3">
      <c r="O38" s="19">
        <v>2.8</v>
      </c>
    </row>
    <row r="39" spans="15:15" x14ac:dyDescent="0.3">
      <c r="O39" s="19">
        <v>0.8</v>
      </c>
    </row>
    <row r="40" spans="15:15" x14ac:dyDescent="0.3">
      <c r="O40" s="19">
        <v>-1.6</v>
      </c>
    </row>
    <row r="41" spans="15:15" x14ac:dyDescent="0.3">
      <c r="O41" s="19">
        <v>1.4</v>
      </c>
    </row>
    <row r="42" spans="15:15" x14ac:dyDescent="0.3">
      <c r="O42" s="19">
        <v>-0.1</v>
      </c>
    </row>
    <row r="43" spans="15:15" x14ac:dyDescent="0.3">
      <c r="O43" s="19">
        <v>2.5</v>
      </c>
    </row>
    <row r="44" spans="15:15" x14ac:dyDescent="0.3">
      <c r="O44" s="19">
        <v>-1</v>
      </c>
    </row>
    <row r="45" spans="15:15" x14ac:dyDescent="0.3">
      <c r="O45" s="19">
        <v>1.7</v>
      </c>
    </row>
    <row r="46" spans="15:15" x14ac:dyDescent="0.3">
      <c r="O46" s="19">
        <v>-0.9</v>
      </c>
    </row>
    <row r="47" spans="15:15" x14ac:dyDescent="0.3">
      <c r="O47" s="19">
        <v>-2</v>
      </c>
    </row>
    <row r="48" spans="15:15" x14ac:dyDescent="0.3">
      <c r="O48" s="19">
        <v>2.7</v>
      </c>
    </row>
    <row r="49" spans="1:16" x14ac:dyDescent="0.3">
      <c r="O49" s="19">
        <v>0.6</v>
      </c>
    </row>
    <row r="50" spans="1:16" x14ac:dyDescent="0.3">
      <c r="O50" s="19">
        <v>-1.4</v>
      </c>
    </row>
    <row r="51" spans="1:16" x14ac:dyDescent="0.3">
      <c r="O51" s="19">
        <v>1.1000000000000001</v>
      </c>
    </row>
    <row r="52" spans="1:16" x14ac:dyDescent="0.3">
      <c r="O52" s="19">
        <v>-0.3</v>
      </c>
    </row>
    <row r="53" spans="1:16" x14ac:dyDescent="0.3">
      <c r="O53" s="19">
        <v>2</v>
      </c>
    </row>
    <row r="55" spans="1:16" x14ac:dyDescent="0.3">
      <c r="A55" s="42" t="s">
        <v>144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</row>
    <row r="57" spans="1:16" x14ac:dyDescent="0.3">
      <c r="A57" t="s">
        <v>1</v>
      </c>
      <c r="N57" t="s">
        <v>129</v>
      </c>
      <c r="O57" s="2" t="s">
        <v>146</v>
      </c>
    </row>
    <row r="58" spans="1:16" x14ac:dyDescent="0.3">
      <c r="O58" s="19">
        <v>2.5</v>
      </c>
      <c r="P58" s="19">
        <v>2.2000000000000002</v>
      </c>
    </row>
    <row r="59" spans="1:16" x14ac:dyDescent="0.3">
      <c r="A59" s="37" t="s">
        <v>145</v>
      </c>
      <c r="B59" s="37"/>
      <c r="C59" s="37"/>
      <c r="D59" s="37"/>
      <c r="E59" s="37"/>
      <c r="F59" s="37"/>
      <c r="G59" s="37"/>
      <c r="H59" s="37"/>
      <c r="O59" s="19">
        <v>4.8</v>
      </c>
      <c r="P59" s="19">
        <v>3.6</v>
      </c>
    </row>
    <row r="60" spans="1:16" x14ac:dyDescent="0.3">
      <c r="O60" s="19">
        <v>3.2</v>
      </c>
      <c r="P60" s="19">
        <v>4</v>
      </c>
    </row>
    <row r="61" spans="1:16" x14ac:dyDescent="0.3">
      <c r="A61" t="s">
        <v>34</v>
      </c>
      <c r="O61" s="19">
        <v>2.1</v>
      </c>
      <c r="P61" s="19">
        <v>2.7</v>
      </c>
    </row>
    <row r="62" spans="1:16" x14ac:dyDescent="0.3">
      <c r="O62" s="19">
        <v>4.5</v>
      </c>
      <c r="P62" s="19">
        <v>3.8</v>
      </c>
    </row>
    <row r="63" spans="1:16" x14ac:dyDescent="0.3">
      <c r="A63" s="34" t="s">
        <v>147</v>
      </c>
      <c r="B63" s="34"/>
      <c r="C63" s="34"/>
      <c r="D63" s="34"/>
      <c r="E63" s="34"/>
      <c r="F63" s="34"/>
      <c r="O63" s="19">
        <v>2.9</v>
      </c>
      <c r="P63" s="19">
        <v>3.5</v>
      </c>
    </row>
    <row r="64" spans="1:16" x14ac:dyDescent="0.3">
      <c r="O64" s="19">
        <v>2.2999999999999998</v>
      </c>
      <c r="P64" s="19">
        <v>3.2</v>
      </c>
    </row>
    <row r="65" spans="1:16" x14ac:dyDescent="0.3">
      <c r="A65" s="2" t="s">
        <v>137</v>
      </c>
      <c r="B65" s="3">
        <f>SKEW(O58:P107)</f>
        <v>0.2240253645454216</v>
      </c>
      <c r="O65" s="19">
        <v>3.1</v>
      </c>
      <c r="P65" s="19">
        <v>4.4000000000000004</v>
      </c>
    </row>
    <row r="66" spans="1:16" x14ac:dyDescent="0.3">
      <c r="O66" s="19">
        <v>4.2</v>
      </c>
      <c r="P66" s="19">
        <v>2</v>
      </c>
    </row>
    <row r="67" spans="1:16" x14ac:dyDescent="0.3">
      <c r="A67" s="34" t="s">
        <v>148</v>
      </c>
      <c r="B67" s="34"/>
      <c r="C67" s="34"/>
      <c r="D67" s="34"/>
      <c r="E67" s="34"/>
      <c r="F67" s="34"/>
      <c r="O67" s="19">
        <v>3.9</v>
      </c>
      <c r="P67" s="19">
        <v>3.4</v>
      </c>
    </row>
    <row r="68" spans="1:16" x14ac:dyDescent="0.3">
      <c r="O68" s="19">
        <v>2.8</v>
      </c>
      <c r="P68" s="19">
        <v>3.1</v>
      </c>
    </row>
    <row r="69" spans="1:16" x14ac:dyDescent="0.3">
      <c r="A69" s="2" t="s">
        <v>138</v>
      </c>
      <c r="B69" s="3">
        <f>KURT(O58:P107)</f>
        <v>-0.9312091245252927</v>
      </c>
      <c r="O69" s="19">
        <v>4.0999999999999996</v>
      </c>
      <c r="P69" s="19">
        <v>2.9</v>
      </c>
    </row>
    <row r="70" spans="1:16" x14ac:dyDescent="0.3">
      <c r="O70" s="19">
        <v>2.6</v>
      </c>
      <c r="P70" s="19">
        <v>4.5999999999999996</v>
      </c>
    </row>
    <row r="71" spans="1:16" x14ac:dyDescent="0.3">
      <c r="A71" s="34" t="s">
        <v>149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O71" s="19">
        <v>2.4</v>
      </c>
      <c r="P71" s="19">
        <v>3.3</v>
      </c>
    </row>
    <row r="72" spans="1:16" x14ac:dyDescent="0.3">
      <c r="O72" s="19">
        <v>4.7</v>
      </c>
      <c r="P72" s="19">
        <v>2.5</v>
      </c>
    </row>
    <row r="73" spans="1:16" x14ac:dyDescent="0.3">
      <c r="A73" t="s">
        <v>140</v>
      </c>
      <c r="B73" t="s">
        <v>150</v>
      </c>
      <c r="O73" s="19">
        <v>3.3</v>
      </c>
      <c r="P73" s="19">
        <v>4.9000000000000004</v>
      </c>
    </row>
    <row r="74" spans="1:16" x14ac:dyDescent="0.3">
      <c r="B74" t="s">
        <v>151</v>
      </c>
      <c r="O74" s="19">
        <v>2.7</v>
      </c>
      <c r="P74" s="19">
        <v>2.8</v>
      </c>
    </row>
    <row r="75" spans="1:16" x14ac:dyDescent="0.3">
      <c r="B75" t="s">
        <v>152</v>
      </c>
      <c r="O75" s="19">
        <v>3</v>
      </c>
      <c r="P75" s="19">
        <v>3</v>
      </c>
    </row>
    <row r="76" spans="1:16" x14ac:dyDescent="0.3">
      <c r="O76" s="19">
        <v>4.3</v>
      </c>
      <c r="P76" s="19">
        <v>4.2</v>
      </c>
    </row>
    <row r="77" spans="1:16" x14ac:dyDescent="0.3">
      <c r="O77" s="19">
        <v>3.7</v>
      </c>
      <c r="P77" s="19">
        <v>3.9</v>
      </c>
    </row>
    <row r="78" spans="1:16" x14ac:dyDescent="0.3">
      <c r="O78" s="19">
        <v>2.2000000000000002</v>
      </c>
      <c r="P78" s="19">
        <v>2.8</v>
      </c>
    </row>
    <row r="79" spans="1:16" x14ac:dyDescent="0.3">
      <c r="O79" s="19">
        <v>3.6</v>
      </c>
      <c r="P79" s="19">
        <v>4.0999999999999996</v>
      </c>
    </row>
    <row r="80" spans="1:16" x14ac:dyDescent="0.3">
      <c r="O80" s="19">
        <v>4</v>
      </c>
      <c r="P80" s="19">
        <v>2.6</v>
      </c>
    </row>
    <row r="81" spans="15:16" x14ac:dyDescent="0.3">
      <c r="O81" s="19">
        <v>2.7</v>
      </c>
      <c r="P81" s="19">
        <v>2.4</v>
      </c>
    </row>
    <row r="82" spans="15:16" x14ac:dyDescent="0.3">
      <c r="O82" s="19">
        <v>3.8</v>
      </c>
      <c r="P82" s="19">
        <v>4.7</v>
      </c>
    </row>
    <row r="83" spans="15:16" x14ac:dyDescent="0.3">
      <c r="O83" s="19">
        <v>3.5</v>
      </c>
      <c r="P83" s="19">
        <v>3.3</v>
      </c>
    </row>
    <row r="84" spans="15:16" x14ac:dyDescent="0.3">
      <c r="O84" s="19">
        <v>3.2</v>
      </c>
      <c r="P84" s="19">
        <v>2.7</v>
      </c>
    </row>
    <row r="85" spans="15:16" x14ac:dyDescent="0.3">
      <c r="O85" s="19">
        <v>4.4000000000000004</v>
      </c>
      <c r="P85" s="19">
        <v>3</v>
      </c>
    </row>
    <row r="86" spans="15:16" x14ac:dyDescent="0.3">
      <c r="O86" s="19">
        <v>2</v>
      </c>
      <c r="P86" s="19">
        <v>4.3</v>
      </c>
    </row>
    <row r="87" spans="15:16" x14ac:dyDescent="0.3">
      <c r="O87" s="19">
        <v>3.4</v>
      </c>
      <c r="P87" s="19">
        <v>3.7</v>
      </c>
    </row>
    <row r="88" spans="15:16" x14ac:dyDescent="0.3">
      <c r="O88" s="19">
        <v>3.1</v>
      </c>
      <c r="P88" s="19">
        <v>2.2000000000000002</v>
      </c>
    </row>
    <row r="89" spans="15:16" x14ac:dyDescent="0.3">
      <c r="O89" s="19">
        <v>2.9</v>
      </c>
      <c r="P89" s="19">
        <v>3.6</v>
      </c>
    </row>
    <row r="90" spans="15:16" x14ac:dyDescent="0.3">
      <c r="O90" s="19">
        <v>4.5999999999999996</v>
      </c>
      <c r="P90" s="19">
        <v>4</v>
      </c>
    </row>
    <row r="91" spans="15:16" x14ac:dyDescent="0.3">
      <c r="O91" s="19">
        <v>3.3</v>
      </c>
      <c r="P91" s="19">
        <v>2.7</v>
      </c>
    </row>
    <row r="92" spans="15:16" x14ac:dyDescent="0.3">
      <c r="O92" s="19">
        <v>2.5</v>
      </c>
      <c r="P92" s="19">
        <v>3.8</v>
      </c>
    </row>
    <row r="93" spans="15:16" x14ac:dyDescent="0.3">
      <c r="O93" s="19">
        <v>4.9000000000000004</v>
      </c>
      <c r="P93" s="19">
        <v>3.5</v>
      </c>
    </row>
    <row r="94" spans="15:16" x14ac:dyDescent="0.3">
      <c r="O94" s="19">
        <v>2.8</v>
      </c>
      <c r="P94" s="19">
        <v>3.2</v>
      </c>
    </row>
    <row r="95" spans="15:16" x14ac:dyDescent="0.3">
      <c r="O95" s="19">
        <v>3</v>
      </c>
      <c r="P95" s="19">
        <v>4.4000000000000004</v>
      </c>
    </row>
    <row r="96" spans="15:16" x14ac:dyDescent="0.3">
      <c r="O96" s="19">
        <v>4.2</v>
      </c>
      <c r="P96" s="19">
        <v>2</v>
      </c>
    </row>
    <row r="97" spans="1:16" x14ac:dyDescent="0.3">
      <c r="O97" s="19">
        <v>3.9</v>
      </c>
      <c r="P97" s="19">
        <v>3.4</v>
      </c>
    </row>
    <row r="98" spans="1:16" x14ac:dyDescent="0.3">
      <c r="O98" s="19">
        <v>2.8</v>
      </c>
      <c r="P98" s="19">
        <v>3.1</v>
      </c>
    </row>
    <row r="99" spans="1:16" x14ac:dyDescent="0.3">
      <c r="O99" s="19">
        <v>4.0999999999999996</v>
      </c>
      <c r="P99" s="19">
        <v>2.9</v>
      </c>
    </row>
    <row r="100" spans="1:16" x14ac:dyDescent="0.3">
      <c r="O100" s="19">
        <v>2.6</v>
      </c>
      <c r="P100" s="19">
        <v>4.5999999999999996</v>
      </c>
    </row>
    <row r="101" spans="1:16" x14ac:dyDescent="0.3">
      <c r="O101" s="19">
        <v>2.4</v>
      </c>
      <c r="P101" s="19">
        <v>3.3</v>
      </c>
    </row>
    <row r="102" spans="1:16" x14ac:dyDescent="0.3">
      <c r="O102" s="19">
        <v>4.7</v>
      </c>
      <c r="P102" s="19">
        <v>2.5</v>
      </c>
    </row>
    <row r="103" spans="1:16" x14ac:dyDescent="0.3">
      <c r="O103" s="19">
        <v>3.3</v>
      </c>
      <c r="P103" s="19">
        <v>4.9000000000000004</v>
      </c>
    </row>
    <row r="104" spans="1:16" x14ac:dyDescent="0.3">
      <c r="O104" s="19">
        <v>2.7</v>
      </c>
      <c r="P104" s="19"/>
    </row>
    <row r="105" spans="1:16" x14ac:dyDescent="0.3">
      <c r="O105" s="19">
        <v>3</v>
      </c>
      <c r="P105" s="19"/>
    </row>
    <row r="106" spans="1:16" x14ac:dyDescent="0.3">
      <c r="O106" s="19">
        <v>4.3</v>
      </c>
      <c r="P106" s="19"/>
    </row>
    <row r="107" spans="1:16" x14ac:dyDescent="0.3">
      <c r="O107" s="19">
        <v>3.7</v>
      </c>
      <c r="P107" s="19"/>
    </row>
    <row r="109" spans="1:16" x14ac:dyDescent="0.3">
      <c r="A109" s="42" t="s">
        <v>153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</row>
    <row r="111" spans="1:16" x14ac:dyDescent="0.3">
      <c r="A111" t="s">
        <v>130</v>
      </c>
    </row>
    <row r="112" spans="1:16" x14ac:dyDescent="0.3">
      <c r="L112" t="s">
        <v>95</v>
      </c>
    </row>
    <row r="113" spans="1:21" x14ac:dyDescent="0.3">
      <c r="A113" s="34" t="s">
        <v>154</v>
      </c>
      <c r="B113" s="34"/>
      <c r="C113" s="34"/>
      <c r="D113" s="34"/>
      <c r="E113" s="34"/>
      <c r="F113" s="34"/>
    </row>
    <row r="114" spans="1:21" x14ac:dyDescent="0.3">
      <c r="L114" s="19">
        <v>4</v>
      </c>
      <c r="M114" s="19">
        <v>5</v>
      </c>
      <c r="N114" s="19">
        <v>3</v>
      </c>
      <c r="O114" s="19">
        <v>4</v>
      </c>
      <c r="P114" s="19">
        <v>4</v>
      </c>
      <c r="Q114" s="19">
        <v>3</v>
      </c>
      <c r="R114" s="19">
        <v>2</v>
      </c>
      <c r="S114" s="19">
        <v>5</v>
      </c>
      <c r="T114" s="19">
        <v>4</v>
      </c>
      <c r="U114" s="19">
        <v>3</v>
      </c>
    </row>
    <row r="115" spans="1:21" x14ac:dyDescent="0.3">
      <c r="A115" t="s">
        <v>34</v>
      </c>
      <c r="L115" s="19">
        <v>5</v>
      </c>
      <c r="M115" s="19">
        <v>4</v>
      </c>
      <c r="N115" s="19">
        <v>2</v>
      </c>
      <c r="O115" s="19">
        <v>3</v>
      </c>
      <c r="P115" s="19">
        <v>4</v>
      </c>
      <c r="Q115" s="19">
        <v>5</v>
      </c>
      <c r="R115" s="19">
        <v>3</v>
      </c>
      <c r="S115" s="19">
        <v>4</v>
      </c>
      <c r="T115" s="19">
        <v>5</v>
      </c>
      <c r="U115" s="19">
        <v>3</v>
      </c>
    </row>
    <row r="116" spans="1:21" x14ac:dyDescent="0.3">
      <c r="L116" s="19">
        <v>4</v>
      </c>
      <c r="M116" s="19">
        <v>3</v>
      </c>
      <c r="N116" s="19">
        <v>2</v>
      </c>
      <c r="O116" s="19">
        <v>4</v>
      </c>
      <c r="P116" s="19">
        <v>5</v>
      </c>
      <c r="Q116" s="19">
        <v>3</v>
      </c>
      <c r="R116" s="19">
        <v>4</v>
      </c>
      <c r="S116" s="19">
        <v>5</v>
      </c>
      <c r="T116" s="19">
        <v>4</v>
      </c>
      <c r="U116" s="19">
        <v>3</v>
      </c>
    </row>
    <row r="117" spans="1:21" x14ac:dyDescent="0.3">
      <c r="A117" s="34" t="s">
        <v>155</v>
      </c>
      <c r="B117" s="34"/>
      <c r="C117" s="34"/>
      <c r="D117" s="34"/>
      <c r="E117" s="34"/>
      <c r="F117" s="34"/>
      <c r="L117" s="19">
        <v>3</v>
      </c>
      <c r="M117" s="19">
        <v>4</v>
      </c>
      <c r="N117" s="19">
        <v>5</v>
      </c>
      <c r="O117" s="19">
        <v>2</v>
      </c>
      <c r="P117" s="19">
        <v>3</v>
      </c>
      <c r="Q117" s="19">
        <v>4</v>
      </c>
      <c r="R117" s="19">
        <v>4</v>
      </c>
      <c r="S117" s="19">
        <v>3</v>
      </c>
      <c r="T117" s="19">
        <v>5</v>
      </c>
      <c r="U117" s="19">
        <v>4</v>
      </c>
    </row>
    <row r="118" spans="1:21" x14ac:dyDescent="0.3">
      <c r="L118" s="19">
        <v>3</v>
      </c>
      <c r="M118" s="19">
        <v>4</v>
      </c>
      <c r="N118" s="19">
        <v>5</v>
      </c>
      <c r="O118" s="19">
        <v>4</v>
      </c>
      <c r="P118" s="19">
        <v>2</v>
      </c>
      <c r="Q118" s="19">
        <v>3</v>
      </c>
      <c r="R118" s="19">
        <v>4</v>
      </c>
      <c r="S118" s="19">
        <v>5</v>
      </c>
      <c r="T118" s="19">
        <v>3</v>
      </c>
      <c r="U118" s="19">
        <v>4</v>
      </c>
    </row>
    <row r="119" spans="1:21" x14ac:dyDescent="0.3">
      <c r="A119" s="22" t="s">
        <v>137</v>
      </c>
      <c r="B119" s="3">
        <f>SKEW(L114:U123)</f>
        <v>-0.21090973977304461</v>
      </c>
      <c r="L119" s="19">
        <v>5</v>
      </c>
      <c r="M119" s="19">
        <v>4</v>
      </c>
      <c r="N119" s="19">
        <v>3</v>
      </c>
      <c r="O119" s="19">
        <v>4</v>
      </c>
      <c r="P119" s="19">
        <v>5</v>
      </c>
      <c r="Q119" s="19">
        <v>3</v>
      </c>
      <c r="R119" s="19">
        <v>4</v>
      </c>
      <c r="S119" s="19">
        <v>5</v>
      </c>
      <c r="T119" s="19">
        <v>4</v>
      </c>
      <c r="U119" s="19">
        <v>3</v>
      </c>
    </row>
    <row r="120" spans="1:21" x14ac:dyDescent="0.3">
      <c r="L120" s="19">
        <v>3</v>
      </c>
      <c r="M120" s="19">
        <v>4</v>
      </c>
      <c r="N120" s="19">
        <v>5</v>
      </c>
      <c r="O120" s="19">
        <v>2</v>
      </c>
      <c r="P120" s="19">
        <v>3</v>
      </c>
      <c r="Q120" s="19">
        <v>4</v>
      </c>
      <c r="R120" s="19">
        <v>4</v>
      </c>
      <c r="S120" s="19">
        <v>3</v>
      </c>
      <c r="T120" s="19">
        <v>5</v>
      </c>
      <c r="U120" s="19">
        <v>4</v>
      </c>
    </row>
    <row r="121" spans="1:21" x14ac:dyDescent="0.3">
      <c r="A121" s="34" t="s">
        <v>156</v>
      </c>
      <c r="B121" s="34"/>
      <c r="C121" s="34"/>
      <c r="D121" s="34"/>
      <c r="E121" s="34"/>
      <c r="F121" s="34"/>
      <c r="L121" s="19">
        <v>3</v>
      </c>
      <c r="M121" s="19">
        <v>4</v>
      </c>
      <c r="N121" s="19">
        <v>5</v>
      </c>
      <c r="O121" s="19">
        <v>4</v>
      </c>
      <c r="P121" s="19">
        <v>2</v>
      </c>
      <c r="Q121" s="19">
        <v>3</v>
      </c>
      <c r="R121" s="19">
        <v>4</v>
      </c>
      <c r="S121" s="19">
        <v>5</v>
      </c>
      <c r="T121" s="19">
        <v>3</v>
      </c>
      <c r="U121" s="19">
        <v>4</v>
      </c>
    </row>
    <row r="122" spans="1:21" x14ac:dyDescent="0.3">
      <c r="L122" s="19">
        <v>5</v>
      </c>
      <c r="M122" s="19">
        <v>4</v>
      </c>
      <c r="N122" s="19">
        <v>3</v>
      </c>
      <c r="O122" s="19">
        <v>4</v>
      </c>
      <c r="P122" s="19">
        <v>5</v>
      </c>
      <c r="Q122" s="19">
        <v>3</v>
      </c>
      <c r="R122" s="19">
        <v>4</v>
      </c>
      <c r="S122" s="19">
        <v>5</v>
      </c>
      <c r="T122" s="19">
        <v>4</v>
      </c>
      <c r="U122" s="19">
        <v>3</v>
      </c>
    </row>
    <row r="123" spans="1:21" x14ac:dyDescent="0.3">
      <c r="A123" s="22" t="s">
        <v>138</v>
      </c>
      <c r="B123" s="3">
        <f>KURT(L114:U123)</f>
        <v>-0.74525627211662515</v>
      </c>
      <c r="L123" s="19">
        <v>3</v>
      </c>
      <c r="M123" s="19">
        <v>4</v>
      </c>
      <c r="N123" s="19">
        <v>5</v>
      </c>
      <c r="O123" s="19">
        <v>2</v>
      </c>
      <c r="P123" s="19">
        <v>3</v>
      </c>
      <c r="Q123" s="19">
        <v>4</v>
      </c>
      <c r="R123" s="19">
        <v>4</v>
      </c>
      <c r="S123" s="19">
        <v>3</v>
      </c>
      <c r="T123" s="19">
        <v>5</v>
      </c>
      <c r="U123" s="19">
        <v>4</v>
      </c>
    </row>
    <row r="125" spans="1:21" x14ac:dyDescent="0.3">
      <c r="A125" s="34" t="s">
        <v>157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</row>
    <row r="127" spans="1:21" x14ac:dyDescent="0.3">
      <c r="A127" t="s">
        <v>140</v>
      </c>
      <c r="B127" s="37" t="s">
        <v>158</v>
      </c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</row>
    <row r="130" spans="1:21" x14ac:dyDescent="0.3">
      <c r="A130" s="42" t="s">
        <v>159</v>
      </c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</row>
    <row r="132" spans="1:21" x14ac:dyDescent="0.3">
      <c r="A132" t="s">
        <v>1</v>
      </c>
    </row>
    <row r="134" spans="1:21" x14ac:dyDescent="0.3">
      <c r="A134" s="37" t="s">
        <v>160</v>
      </c>
      <c r="B134" s="37"/>
      <c r="C134" s="37"/>
      <c r="D134" s="37"/>
      <c r="E134" s="37"/>
      <c r="F134" s="37"/>
      <c r="G134" s="37"/>
      <c r="H134" s="37"/>
    </row>
    <row r="135" spans="1:21" x14ac:dyDescent="0.3">
      <c r="L135" s="37" t="s">
        <v>161</v>
      </c>
      <c r="M135" s="37"/>
    </row>
    <row r="136" spans="1:21" x14ac:dyDescent="0.3">
      <c r="A136" t="s">
        <v>34</v>
      </c>
    </row>
    <row r="137" spans="1:21" x14ac:dyDescent="0.3">
      <c r="L137" s="19">
        <v>280</v>
      </c>
      <c r="M137" s="19">
        <v>350</v>
      </c>
      <c r="N137" s="19">
        <v>310</v>
      </c>
      <c r="O137" s="19">
        <v>270</v>
      </c>
      <c r="P137" s="19">
        <v>390</v>
      </c>
      <c r="Q137" s="19">
        <v>320</v>
      </c>
      <c r="R137" s="19">
        <v>290</v>
      </c>
      <c r="S137" s="19">
        <v>340</v>
      </c>
      <c r="T137" s="19">
        <v>310</v>
      </c>
      <c r="U137" s="19">
        <v>380</v>
      </c>
    </row>
    <row r="138" spans="1:21" x14ac:dyDescent="0.3">
      <c r="A138" s="34" t="s">
        <v>162</v>
      </c>
      <c r="B138" s="34"/>
      <c r="C138" s="34"/>
      <c r="D138" s="34"/>
      <c r="E138" s="34"/>
      <c r="F138" s="34"/>
      <c r="G138" s="34"/>
      <c r="L138" s="19">
        <v>270</v>
      </c>
      <c r="M138" s="19">
        <v>350</v>
      </c>
      <c r="N138" s="19">
        <v>300</v>
      </c>
      <c r="O138" s="19">
        <v>330</v>
      </c>
      <c r="P138" s="19">
        <v>370</v>
      </c>
      <c r="Q138" s="19">
        <v>310</v>
      </c>
      <c r="R138" s="19">
        <v>280</v>
      </c>
      <c r="S138" s="19">
        <v>320</v>
      </c>
      <c r="T138" s="19">
        <v>350</v>
      </c>
      <c r="U138" s="19">
        <v>290</v>
      </c>
    </row>
    <row r="139" spans="1:21" x14ac:dyDescent="0.3">
      <c r="L139" s="19">
        <v>270</v>
      </c>
      <c r="M139" s="19">
        <v>350</v>
      </c>
      <c r="N139" s="19">
        <v>300</v>
      </c>
      <c r="O139" s="19">
        <v>330</v>
      </c>
      <c r="P139" s="19">
        <v>370</v>
      </c>
      <c r="Q139" s="19">
        <v>310</v>
      </c>
      <c r="R139" s="19">
        <v>280</v>
      </c>
      <c r="S139" s="19">
        <v>320</v>
      </c>
      <c r="T139" s="19">
        <v>350</v>
      </c>
      <c r="U139" s="19">
        <v>290</v>
      </c>
    </row>
    <row r="140" spans="1:21" x14ac:dyDescent="0.3">
      <c r="A140" s="22" t="s">
        <v>137</v>
      </c>
      <c r="B140" s="3">
        <f>SKEW(L137:U146)</f>
        <v>0.2092186247974063</v>
      </c>
      <c r="L140" s="19">
        <v>270</v>
      </c>
      <c r="M140" s="19">
        <v>350</v>
      </c>
      <c r="N140" s="19">
        <v>300</v>
      </c>
      <c r="O140" s="19">
        <v>330</v>
      </c>
      <c r="P140" s="19">
        <v>370</v>
      </c>
      <c r="Q140" s="19">
        <v>310</v>
      </c>
      <c r="R140" s="19">
        <v>280</v>
      </c>
      <c r="S140" s="19">
        <v>320</v>
      </c>
      <c r="T140" s="19">
        <v>350</v>
      </c>
      <c r="U140" s="19">
        <v>290</v>
      </c>
    </row>
    <row r="141" spans="1:21" x14ac:dyDescent="0.3">
      <c r="L141" s="19">
        <v>270</v>
      </c>
      <c r="M141" s="19">
        <v>350</v>
      </c>
      <c r="N141" s="19">
        <v>300</v>
      </c>
      <c r="O141" s="19">
        <v>330</v>
      </c>
      <c r="P141" s="19">
        <v>370</v>
      </c>
      <c r="Q141" s="19">
        <v>310</v>
      </c>
      <c r="R141" s="19">
        <v>280</v>
      </c>
      <c r="S141" s="19">
        <v>320</v>
      </c>
      <c r="T141" s="19">
        <v>350</v>
      </c>
      <c r="U141" s="19">
        <v>290</v>
      </c>
    </row>
    <row r="142" spans="1:21" x14ac:dyDescent="0.3">
      <c r="A142" s="34" t="s">
        <v>163</v>
      </c>
      <c r="B142" s="34"/>
      <c r="C142" s="34"/>
      <c r="D142" s="34"/>
      <c r="E142" s="34"/>
      <c r="F142" s="34"/>
      <c r="G142" s="34"/>
      <c r="L142" s="19">
        <v>270</v>
      </c>
      <c r="M142" s="19">
        <v>350</v>
      </c>
      <c r="N142" s="19">
        <v>300</v>
      </c>
      <c r="O142" s="19">
        <v>330</v>
      </c>
      <c r="P142" s="19">
        <v>370</v>
      </c>
      <c r="Q142" s="19">
        <v>310</v>
      </c>
      <c r="R142" s="19">
        <v>280</v>
      </c>
      <c r="S142" s="19">
        <v>320</v>
      </c>
      <c r="T142" s="19">
        <v>350</v>
      </c>
      <c r="U142" s="19">
        <v>290</v>
      </c>
    </row>
    <row r="143" spans="1:21" x14ac:dyDescent="0.3">
      <c r="L143" s="19">
        <v>270</v>
      </c>
      <c r="M143" s="19">
        <v>350</v>
      </c>
      <c r="N143" s="19">
        <v>300</v>
      </c>
      <c r="O143" s="19">
        <v>330</v>
      </c>
      <c r="P143" s="19">
        <v>370</v>
      </c>
      <c r="Q143" s="19">
        <v>310</v>
      </c>
      <c r="R143" s="19">
        <v>280</v>
      </c>
      <c r="S143" s="19">
        <v>320</v>
      </c>
      <c r="T143" s="19">
        <v>350</v>
      </c>
      <c r="U143" s="19">
        <v>290</v>
      </c>
    </row>
    <row r="144" spans="1:21" x14ac:dyDescent="0.3">
      <c r="A144" s="22" t="s">
        <v>138</v>
      </c>
      <c r="B144" s="3">
        <f>KURT(L137:U146)</f>
        <v>-1.0374244845101974</v>
      </c>
      <c r="L144" s="19">
        <v>270</v>
      </c>
      <c r="M144" s="19">
        <v>350</v>
      </c>
      <c r="N144" s="19">
        <v>300</v>
      </c>
      <c r="O144" s="19">
        <v>330</v>
      </c>
      <c r="P144" s="19">
        <v>370</v>
      </c>
      <c r="Q144" s="19">
        <v>310</v>
      </c>
      <c r="R144" s="19">
        <v>280</v>
      </c>
      <c r="S144" s="19">
        <v>320</v>
      </c>
      <c r="T144" s="19">
        <v>350</v>
      </c>
      <c r="U144" s="19">
        <v>290</v>
      </c>
    </row>
    <row r="145" spans="1:21" x14ac:dyDescent="0.3">
      <c r="L145" s="19">
        <v>270</v>
      </c>
      <c r="M145" s="19">
        <v>350</v>
      </c>
      <c r="N145" s="19">
        <v>300</v>
      </c>
      <c r="O145" s="19">
        <v>330</v>
      </c>
      <c r="P145" s="19">
        <v>370</v>
      </c>
      <c r="Q145" s="19">
        <v>310</v>
      </c>
      <c r="R145" s="19">
        <v>280</v>
      </c>
      <c r="S145" s="19">
        <v>320</v>
      </c>
      <c r="T145" s="19">
        <v>350</v>
      </c>
      <c r="U145" s="19">
        <v>290</v>
      </c>
    </row>
    <row r="146" spans="1:21" x14ac:dyDescent="0.3">
      <c r="A146" s="34" t="s">
        <v>164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19">
        <v>270</v>
      </c>
      <c r="M146" s="19">
        <v>350</v>
      </c>
      <c r="N146" s="19">
        <v>300</v>
      </c>
      <c r="O146" s="19">
        <v>330</v>
      </c>
      <c r="P146" s="19">
        <v>370</v>
      </c>
      <c r="Q146" s="19">
        <v>310</v>
      </c>
      <c r="R146" s="19">
        <v>280</v>
      </c>
      <c r="S146" s="19">
        <v>320</v>
      </c>
      <c r="T146" s="19">
        <v>350</v>
      </c>
      <c r="U146" s="19">
        <v>290</v>
      </c>
    </row>
    <row r="148" spans="1:21" x14ac:dyDescent="0.3">
      <c r="A148" t="s">
        <v>140</v>
      </c>
      <c r="B148" t="s">
        <v>165</v>
      </c>
    </row>
    <row r="149" spans="1:21" x14ac:dyDescent="0.3">
      <c r="B149" t="s">
        <v>166</v>
      </c>
    </row>
    <row r="150" spans="1:21" x14ac:dyDescent="0.3">
      <c r="B150" t="s">
        <v>167</v>
      </c>
    </row>
    <row r="153" spans="1:21" x14ac:dyDescent="0.3">
      <c r="A153" s="42" t="s">
        <v>168</v>
      </c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</row>
    <row r="155" spans="1:21" x14ac:dyDescent="0.3">
      <c r="A155" t="s">
        <v>1</v>
      </c>
    </row>
    <row r="157" spans="1:21" x14ac:dyDescent="0.3">
      <c r="A157" s="37" t="s">
        <v>169</v>
      </c>
      <c r="B157" s="37"/>
      <c r="C157" s="37"/>
      <c r="D157" s="37"/>
      <c r="E157" s="37"/>
      <c r="F157" s="37"/>
      <c r="G157" s="37"/>
    </row>
    <row r="158" spans="1:21" x14ac:dyDescent="0.3">
      <c r="L158" s="37" t="s">
        <v>170</v>
      </c>
      <c r="M158" s="37"/>
    </row>
    <row r="159" spans="1:21" x14ac:dyDescent="0.3">
      <c r="A159" t="s">
        <v>34</v>
      </c>
    </row>
    <row r="160" spans="1:21" x14ac:dyDescent="0.3">
      <c r="L160" s="19">
        <v>12</v>
      </c>
      <c r="M160" s="19">
        <v>18</v>
      </c>
      <c r="N160" s="19">
        <v>15</v>
      </c>
      <c r="O160" s="19">
        <v>22</v>
      </c>
      <c r="P160" s="19">
        <v>20</v>
      </c>
      <c r="Q160" s="19">
        <v>14</v>
      </c>
      <c r="R160" s="19">
        <v>16</v>
      </c>
      <c r="S160" s="19">
        <v>21</v>
      </c>
      <c r="T160" s="19">
        <v>19</v>
      </c>
      <c r="U160" s="19">
        <v>17</v>
      </c>
    </row>
    <row r="161" spans="1:21" x14ac:dyDescent="0.3">
      <c r="A161" s="34" t="s">
        <v>171</v>
      </c>
      <c r="B161" s="34"/>
      <c r="C161" s="34"/>
      <c r="D161" s="34"/>
      <c r="E161" s="34"/>
      <c r="F161" s="34"/>
      <c r="G161" s="34"/>
      <c r="L161" s="19">
        <v>22</v>
      </c>
      <c r="M161" s="19">
        <v>19</v>
      </c>
      <c r="N161" s="19">
        <v>13</v>
      </c>
      <c r="O161" s="19">
        <v>16</v>
      </c>
      <c r="P161" s="19">
        <v>21</v>
      </c>
      <c r="Q161" s="19">
        <v>22</v>
      </c>
      <c r="R161" s="19">
        <v>17</v>
      </c>
      <c r="S161" s="19">
        <v>19</v>
      </c>
      <c r="T161" s="19">
        <v>22</v>
      </c>
      <c r="U161" s="19">
        <v>18</v>
      </c>
    </row>
    <row r="162" spans="1:21" x14ac:dyDescent="0.3">
      <c r="L162" s="19">
        <v>14</v>
      </c>
      <c r="M162" s="19">
        <v>20</v>
      </c>
      <c r="N162" s="19">
        <v>19</v>
      </c>
      <c r="O162" s="19">
        <v>17</v>
      </c>
      <c r="P162" s="19">
        <v>22</v>
      </c>
      <c r="Q162" s="19">
        <v>18</v>
      </c>
      <c r="R162" s="19">
        <v>15</v>
      </c>
      <c r="S162" s="19">
        <v>21</v>
      </c>
      <c r="T162" s="19">
        <v>20</v>
      </c>
      <c r="U162" s="19">
        <v>16</v>
      </c>
    </row>
    <row r="163" spans="1:21" x14ac:dyDescent="0.3">
      <c r="A163" s="2" t="s">
        <v>172</v>
      </c>
      <c r="B163" s="3">
        <f>SKEW(L160:U169)</f>
        <v>-0.3350128722188207</v>
      </c>
      <c r="L163" s="19">
        <v>12</v>
      </c>
      <c r="M163" s="19">
        <v>18</v>
      </c>
      <c r="N163" s="19">
        <v>15</v>
      </c>
      <c r="O163" s="19">
        <v>22</v>
      </c>
      <c r="P163" s="19">
        <v>20</v>
      </c>
      <c r="Q163" s="19">
        <v>14</v>
      </c>
      <c r="R163" s="19">
        <v>16</v>
      </c>
      <c r="S163" s="19">
        <v>21</v>
      </c>
      <c r="T163" s="19">
        <v>19</v>
      </c>
      <c r="U163" s="19">
        <v>17</v>
      </c>
    </row>
    <row r="164" spans="1:21" x14ac:dyDescent="0.3">
      <c r="L164" s="19">
        <v>22</v>
      </c>
      <c r="M164" s="19">
        <v>19</v>
      </c>
      <c r="N164" s="19">
        <v>13</v>
      </c>
      <c r="O164" s="19">
        <v>16</v>
      </c>
      <c r="P164" s="19">
        <v>21</v>
      </c>
      <c r="Q164" s="19">
        <v>22</v>
      </c>
      <c r="R164" s="19">
        <v>17</v>
      </c>
      <c r="S164" s="19">
        <v>19</v>
      </c>
      <c r="T164" s="19">
        <v>22</v>
      </c>
      <c r="U164" s="19">
        <v>18</v>
      </c>
    </row>
    <row r="165" spans="1:21" x14ac:dyDescent="0.3">
      <c r="A165" s="34" t="s">
        <v>173</v>
      </c>
      <c r="B165" s="34"/>
      <c r="C165" s="34"/>
      <c r="D165" s="34"/>
      <c r="E165" s="34"/>
      <c r="F165" s="34"/>
      <c r="G165" s="34"/>
      <c r="L165" s="19">
        <v>14</v>
      </c>
      <c r="M165" s="19">
        <v>20</v>
      </c>
      <c r="N165" s="19">
        <v>19</v>
      </c>
      <c r="O165" s="19">
        <v>17</v>
      </c>
      <c r="P165" s="19">
        <v>22</v>
      </c>
      <c r="Q165" s="19">
        <v>18</v>
      </c>
      <c r="R165" s="19">
        <v>15</v>
      </c>
      <c r="S165" s="19">
        <v>21</v>
      </c>
      <c r="T165" s="19">
        <v>20</v>
      </c>
      <c r="U165" s="19">
        <v>16</v>
      </c>
    </row>
    <row r="166" spans="1:21" x14ac:dyDescent="0.3">
      <c r="L166" s="19">
        <v>12</v>
      </c>
      <c r="M166" s="19">
        <v>18</v>
      </c>
      <c r="N166" s="19">
        <v>15</v>
      </c>
      <c r="O166" s="19">
        <v>22</v>
      </c>
      <c r="P166" s="19">
        <v>20</v>
      </c>
      <c r="Q166" s="19">
        <v>14</v>
      </c>
      <c r="R166" s="19">
        <v>16</v>
      </c>
      <c r="S166" s="19">
        <v>21</v>
      </c>
      <c r="T166" s="19">
        <v>19</v>
      </c>
      <c r="U166" s="19">
        <v>17</v>
      </c>
    </row>
    <row r="167" spans="1:21" x14ac:dyDescent="0.3">
      <c r="A167" s="22" t="s">
        <v>174</v>
      </c>
      <c r="B167" s="3">
        <f>KURT(L160:U169)</f>
        <v>-0.88101144669010489</v>
      </c>
      <c r="L167" s="19">
        <v>22</v>
      </c>
      <c r="M167" s="19">
        <v>19</v>
      </c>
      <c r="N167" s="19">
        <v>13</v>
      </c>
      <c r="O167" s="19">
        <v>16</v>
      </c>
      <c r="P167" s="19">
        <v>21</v>
      </c>
      <c r="Q167" s="19">
        <v>22</v>
      </c>
      <c r="R167" s="19">
        <v>17</v>
      </c>
      <c r="S167" s="19">
        <v>19</v>
      </c>
      <c r="T167" s="19">
        <v>22</v>
      </c>
      <c r="U167" s="19">
        <v>18</v>
      </c>
    </row>
    <row r="168" spans="1:21" x14ac:dyDescent="0.3">
      <c r="L168" s="19">
        <v>14</v>
      </c>
      <c r="M168" s="19">
        <v>20</v>
      </c>
      <c r="N168" s="19">
        <v>19</v>
      </c>
      <c r="O168" s="19">
        <v>17</v>
      </c>
      <c r="P168" s="19">
        <v>22</v>
      </c>
      <c r="Q168" s="19">
        <v>18</v>
      </c>
      <c r="R168" s="19">
        <v>15</v>
      </c>
      <c r="S168" s="19">
        <v>21</v>
      </c>
      <c r="T168" s="19">
        <v>20</v>
      </c>
      <c r="U168" s="19">
        <v>16</v>
      </c>
    </row>
    <row r="169" spans="1:21" x14ac:dyDescent="0.3">
      <c r="A169" s="34" t="s">
        <v>175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41"/>
      <c r="L169" s="19">
        <v>12</v>
      </c>
      <c r="M169" s="19">
        <v>18</v>
      </c>
      <c r="N169" s="19">
        <v>15</v>
      </c>
      <c r="O169" s="19">
        <v>22</v>
      </c>
      <c r="P169" s="19">
        <v>20</v>
      </c>
      <c r="Q169" s="19">
        <v>14</v>
      </c>
      <c r="R169" s="19">
        <v>16</v>
      </c>
      <c r="S169" s="19">
        <v>21</v>
      </c>
      <c r="T169" s="19">
        <v>19</v>
      </c>
      <c r="U169" s="19">
        <v>17</v>
      </c>
    </row>
    <row r="171" spans="1:21" x14ac:dyDescent="0.3">
      <c r="A171" t="s">
        <v>140</v>
      </c>
      <c r="B171" t="s">
        <v>176</v>
      </c>
    </row>
    <row r="172" spans="1:21" x14ac:dyDescent="0.3">
      <c r="B172" t="s">
        <v>177</v>
      </c>
    </row>
    <row r="173" spans="1:21" x14ac:dyDescent="0.3">
      <c r="B173" t="s">
        <v>178</v>
      </c>
    </row>
  </sheetData>
  <mergeCells count="27">
    <mergeCell ref="A2:P2"/>
    <mergeCell ref="A6:G6"/>
    <mergeCell ref="A10:F10"/>
    <mergeCell ref="A15:F15"/>
    <mergeCell ref="A59:H59"/>
    <mergeCell ref="A63:F63"/>
    <mergeCell ref="A67:F67"/>
    <mergeCell ref="A71:K71"/>
    <mergeCell ref="A55:N55"/>
    <mergeCell ref="A142:G142"/>
    <mergeCell ref="A146:K146"/>
    <mergeCell ref="A153:L153"/>
    <mergeCell ref="A109:M109"/>
    <mergeCell ref="A113:F113"/>
    <mergeCell ref="A117:F117"/>
    <mergeCell ref="A121:F121"/>
    <mergeCell ref="A125:M125"/>
    <mergeCell ref="B127:U127"/>
    <mergeCell ref="A130:L130"/>
    <mergeCell ref="A134:H134"/>
    <mergeCell ref="L135:M135"/>
    <mergeCell ref="A138:G138"/>
    <mergeCell ref="L158:M158"/>
    <mergeCell ref="A161:G161"/>
    <mergeCell ref="A165:G165"/>
    <mergeCell ref="A169:K169"/>
    <mergeCell ref="A157:G1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0C1E-E60C-4DA6-943B-1DF380EA053C}">
  <dimension ref="A1:V145"/>
  <sheetViews>
    <sheetView workbookViewId="0">
      <selection activeCell="D1" sqref="D1"/>
    </sheetView>
  </sheetViews>
  <sheetFormatPr defaultRowHeight="14.4" x14ac:dyDescent="0.3"/>
  <cols>
    <col min="1" max="1" width="9.6640625" bestFit="1" customWidth="1"/>
    <col min="2" max="2" width="10.77734375" bestFit="1" customWidth="1"/>
  </cols>
  <sheetData>
    <row r="1" spans="1:22" x14ac:dyDescent="0.3">
      <c r="A1" s="35" t="s">
        <v>316</v>
      </c>
      <c r="B1" s="35"/>
    </row>
    <row r="2" spans="1:22" x14ac:dyDescent="0.3">
      <c r="A2" s="42" t="s">
        <v>179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4" spans="1:22" x14ac:dyDescent="0.3">
      <c r="A4" t="s">
        <v>1</v>
      </c>
    </row>
    <row r="6" spans="1:22" x14ac:dyDescent="0.3">
      <c r="A6" s="37" t="s">
        <v>180</v>
      </c>
      <c r="B6" s="37"/>
      <c r="C6" s="37"/>
      <c r="D6" s="37"/>
      <c r="E6" s="37"/>
      <c r="F6" s="37"/>
      <c r="G6" s="37"/>
      <c r="H6" s="37"/>
      <c r="I6" s="37"/>
    </row>
    <row r="7" spans="1:22" x14ac:dyDescent="0.3">
      <c r="M7" t="s">
        <v>181</v>
      </c>
    </row>
    <row r="8" spans="1:22" x14ac:dyDescent="0.3">
      <c r="A8" t="s">
        <v>34</v>
      </c>
    </row>
    <row r="9" spans="1:22" x14ac:dyDescent="0.3">
      <c r="M9" s="19">
        <v>40</v>
      </c>
      <c r="N9" s="19">
        <v>45</v>
      </c>
      <c r="O9" s="19">
        <v>50</v>
      </c>
      <c r="P9" s="19">
        <v>55</v>
      </c>
      <c r="Q9" s="19">
        <v>60</v>
      </c>
      <c r="R9" s="19">
        <v>62</v>
      </c>
      <c r="S9" s="19">
        <v>65</v>
      </c>
      <c r="T9" s="19">
        <v>68</v>
      </c>
      <c r="U9" s="19">
        <v>70</v>
      </c>
      <c r="V9" s="19">
        <v>72</v>
      </c>
    </row>
    <row r="10" spans="1:22" x14ac:dyDescent="0.3">
      <c r="A10" s="34" t="s">
        <v>182</v>
      </c>
      <c r="B10" s="34"/>
      <c r="C10" s="34"/>
      <c r="D10" s="34"/>
      <c r="E10" s="34"/>
      <c r="F10" s="34"/>
      <c r="G10" s="34"/>
      <c r="H10" s="34"/>
      <c r="I10" s="34"/>
      <c r="J10" s="34"/>
      <c r="M10" s="19">
        <v>75</v>
      </c>
      <c r="N10" s="19">
        <v>78</v>
      </c>
      <c r="O10" s="19">
        <v>80</v>
      </c>
      <c r="P10" s="19">
        <v>82</v>
      </c>
      <c r="Q10" s="19">
        <v>85</v>
      </c>
      <c r="R10" s="19">
        <v>88</v>
      </c>
      <c r="S10" s="19">
        <v>90</v>
      </c>
      <c r="T10" s="19">
        <v>92</v>
      </c>
      <c r="U10" s="19">
        <v>95</v>
      </c>
      <c r="V10" s="19">
        <v>100</v>
      </c>
    </row>
    <row r="11" spans="1:22" x14ac:dyDescent="0.3">
      <c r="M11" s="19">
        <v>105</v>
      </c>
      <c r="N11" s="19">
        <v>110</v>
      </c>
      <c r="O11" s="19">
        <v>115</v>
      </c>
      <c r="P11" s="19">
        <v>120</v>
      </c>
      <c r="Q11" s="19">
        <v>125</v>
      </c>
      <c r="R11" s="19">
        <v>130</v>
      </c>
      <c r="S11" s="19">
        <v>135</v>
      </c>
      <c r="T11" s="19">
        <v>140</v>
      </c>
      <c r="U11" s="19">
        <v>145</v>
      </c>
      <c r="V11" s="19">
        <v>150</v>
      </c>
    </row>
    <row r="12" spans="1:22" x14ac:dyDescent="0.3">
      <c r="A12" t="s">
        <v>140</v>
      </c>
      <c r="B12" s="3" t="s">
        <v>183</v>
      </c>
      <c r="C12" s="3">
        <f>QUARTILE(M9:V18,1)</f>
        <v>128.75</v>
      </c>
      <c r="M12" s="19">
        <v>155</v>
      </c>
      <c r="N12" s="19">
        <v>160</v>
      </c>
      <c r="O12" s="19">
        <v>165</v>
      </c>
      <c r="P12" s="19">
        <v>170</v>
      </c>
      <c r="Q12" s="19">
        <v>175</v>
      </c>
      <c r="R12" s="19">
        <v>180</v>
      </c>
      <c r="S12" s="19">
        <v>185</v>
      </c>
      <c r="T12" s="19">
        <v>190</v>
      </c>
      <c r="U12" s="19">
        <v>195</v>
      </c>
      <c r="V12" s="19">
        <v>200</v>
      </c>
    </row>
    <row r="13" spans="1:22" x14ac:dyDescent="0.3">
      <c r="B13" s="3" t="s">
        <v>184</v>
      </c>
      <c r="C13" s="3">
        <f>QUARTILE(M9:V18,2)</f>
        <v>252.5</v>
      </c>
      <c r="M13" s="19">
        <v>205</v>
      </c>
      <c r="N13" s="19">
        <v>210</v>
      </c>
      <c r="O13" s="19">
        <v>215</v>
      </c>
      <c r="P13" s="19">
        <v>220</v>
      </c>
      <c r="Q13" s="19">
        <v>225</v>
      </c>
      <c r="R13" s="19">
        <v>230</v>
      </c>
      <c r="S13" s="19">
        <v>235</v>
      </c>
      <c r="T13" s="19">
        <v>240</v>
      </c>
      <c r="U13" s="19">
        <v>245</v>
      </c>
      <c r="V13" s="19">
        <v>250</v>
      </c>
    </row>
    <row r="14" spans="1:22" x14ac:dyDescent="0.3">
      <c r="B14" s="3" t="s">
        <v>185</v>
      </c>
      <c r="C14" s="3">
        <f>QUARTILE(M9:V18,3)</f>
        <v>376.25</v>
      </c>
      <c r="M14" s="19">
        <v>255</v>
      </c>
      <c r="N14" s="19">
        <v>260</v>
      </c>
      <c r="O14" s="19">
        <v>265</v>
      </c>
      <c r="P14" s="19">
        <v>270</v>
      </c>
      <c r="Q14" s="19">
        <v>275</v>
      </c>
      <c r="R14" s="19">
        <v>280</v>
      </c>
      <c r="S14" s="19">
        <v>285</v>
      </c>
      <c r="T14" s="19">
        <v>290</v>
      </c>
      <c r="U14" s="19">
        <v>295</v>
      </c>
      <c r="V14" s="19">
        <v>300</v>
      </c>
    </row>
    <row r="15" spans="1:22" x14ac:dyDescent="0.3">
      <c r="M15" s="19">
        <v>305</v>
      </c>
      <c r="N15" s="19">
        <v>310</v>
      </c>
      <c r="O15" s="19">
        <v>315</v>
      </c>
      <c r="P15" s="19">
        <v>320</v>
      </c>
      <c r="Q15" s="19">
        <v>325</v>
      </c>
      <c r="R15" s="19">
        <v>330</v>
      </c>
      <c r="S15" s="19">
        <v>335</v>
      </c>
      <c r="T15" s="19">
        <v>340</v>
      </c>
      <c r="U15" s="19">
        <v>345</v>
      </c>
      <c r="V15" s="19">
        <v>350</v>
      </c>
    </row>
    <row r="16" spans="1:22" x14ac:dyDescent="0.3">
      <c r="A16" s="34" t="s">
        <v>186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41"/>
      <c r="M16" s="19">
        <v>355</v>
      </c>
      <c r="N16" s="19">
        <v>360</v>
      </c>
      <c r="O16" s="19">
        <v>365</v>
      </c>
      <c r="P16" s="19">
        <v>370</v>
      </c>
      <c r="Q16" s="19">
        <v>375</v>
      </c>
      <c r="R16" s="19">
        <v>380</v>
      </c>
      <c r="S16" s="19">
        <v>385</v>
      </c>
      <c r="T16" s="19">
        <v>390</v>
      </c>
      <c r="U16" s="19">
        <v>395</v>
      </c>
      <c r="V16" s="19">
        <v>400</v>
      </c>
    </row>
    <row r="17" spans="1:22" x14ac:dyDescent="0.3">
      <c r="M17" s="19">
        <v>405</v>
      </c>
      <c r="N17" s="19">
        <v>410</v>
      </c>
      <c r="O17" s="19">
        <v>415</v>
      </c>
      <c r="P17" s="19">
        <v>420</v>
      </c>
      <c r="Q17" s="19">
        <v>425</v>
      </c>
      <c r="R17" s="19">
        <v>430</v>
      </c>
      <c r="S17" s="19">
        <v>435</v>
      </c>
      <c r="T17" s="19">
        <v>440</v>
      </c>
      <c r="U17" s="19">
        <v>445</v>
      </c>
      <c r="V17" s="19">
        <v>450</v>
      </c>
    </row>
    <row r="18" spans="1:22" x14ac:dyDescent="0.3">
      <c r="A18" t="s">
        <v>140</v>
      </c>
      <c r="B18" s="3" t="s">
        <v>187</v>
      </c>
      <c r="C18" s="3">
        <f>PERCENTILE(M9:V18,0.1)</f>
        <v>74.7</v>
      </c>
      <c r="M18" s="19">
        <v>455</v>
      </c>
      <c r="N18" s="19">
        <v>460</v>
      </c>
      <c r="O18" s="19">
        <v>465</v>
      </c>
      <c r="P18" s="19">
        <v>470</v>
      </c>
      <c r="Q18" s="19">
        <v>475</v>
      </c>
      <c r="R18" s="19">
        <v>480</v>
      </c>
      <c r="S18" s="19">
        <v>485</v>
      </c>
      <c r="T18" s="19">
        <v>490</v>
      </c>
      <c r="U18" s="19">
        <v>495</v>
      </c>
      <c r="V18" s="19">
        <v>500</v>
      </c>
    </row>
    <row r="19" spans="1:22" x14ac:dyDescent="0.3">
      <c r="B19" s="3" t="s">
        <v>188</v>
      </c>
      <c r="C19" s="3">
        <f>PERCENTILE(M9:V18,0.25)</f>
        <v>128.75</v>
      </c>
    </row>
    <row r="20" spans="1:22" x14ac:dyDescent="0.3">
      <c r="B20" s="3" t="s">
        <v>189</v>
      </c>
      <c r="C20" s="3">
        <f>PERCENTILE(M9:V18,0.75)</f>
        <v>376.25</v>
      </c>
    </row>
    <row r="21" spans="1:22" x14ac:dyDescent="0.3">
      <c r="B21" s="3" t="s">
        <v>190</v>
      </c>
      <c r="C21" s="3">
        <f>PERCENTILE(M9:V18,0.9)</f>
        <v>450.50000000000006</v>
      </c>
    </row>
    <row r="23" spans="1:22" x14ac:dyDescent="0.3">
      <c r="A23" s="34" t="s">
        <v>191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5" spans="1:22" x14ac:dyDescent="0.3">
      <c r="A25" s="24" t="s">
        <v>140</v>
      </c>
      <c r="B25" t="s">
        <v>192</v>
      </c>
    </row>
    <row r="26" spans="1:22" x14ac:dyDescent="0.3">
      <c r="B26" t="s">
        <v>193</v>
      </c>
    </row>
    <row r="27" spans="1:22" x14ac:dyDescent="0.3">
      <c r="B27" t="s">
        <v>194</v>
      </c>
    </row>
    <row r="28" spans="1:22" x14ac:dyDescent="0.3">
      <c r="B28" t="s">
        <v>195</v>
      </c>
    </row>
    <row r="31" spans="1:22" x14ac:dyDescent="0.3">
      <c r="A31" s="42" t="s">
        <v>196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3" spans="1:22" x14ac:dyDescent="0.3">
      <c r="A33" t="s">
        <v>1</v>
      </c>
    </row>
    <row r="35" spans="1:22" x14ac:dyDescent="0.3">
      <c r="A35" s="37" t="s">
        <v>197</v>
      </c>
      <c r="B35" s="37"/>
      <c r="C35" s="37"/>
      <c r="D35" s="37"/>
      <c r="E35" s="37"/>
      <c r="F35" s="37"/>
      <c r="G35" s="37"/>
    </row>
    <row r="36" spans="1:22" x14ac:dyDescent="0.3">
      <c r="M36" t="s">
        <v>198</v>
      </c>
    </row>
    <row r="37" spans="1:22" x14ac:dyDescent="0.3">
      <c r="A37" t="s">
        <v>34</v>
      </c>
    </row>
    <row r="38" spans="1:22" x14ac:dyDescent="0.3">
      <c r="M38" s="19">
        <v>55</v>
      </c>
      <c r="N38" s="19">
        <v>60</v>
      </c>
      <c r="O38" s="19">
        <v>62</v>
      </c>
      <c r="P38" s="19">
        <v>65</v>
      </c>
      <c r="Q38" s="19">
        <v>68</v>
      </c>
      <c r="R38" s="19">
        <v>70</v>
      </c>
      <c r="S38" s="19">
        <v>72</v>
      </c>
      <c r="T38" s="19">
        <v>75</v>
      </c>
      <c r="U38" s="19">
        <v>78</v>
      </c>
      <c r="V38" s="19">
        <v>80</v>
      </c>
    </row>
    <row r="39" spans="1:22" x14ac:dyDescent="0.3">
      <c r="A39" s="34" t="s">
        <v>199</v>
      </c>
      <c r="B39" s="34"/>
      <c r="C39" s="34"/>
      <c r="D39" s="34"/>
      <c r="E39" s="34"/>
      <c r="F39" s="34"/>
      <c r="G39" s="34"/>
      <c r="H39" s="34"/>
      <c r="I39" s="34"/>
      <c r="J39" s="34"/>
      <c r="M39" s="19">
        <v>82</v>
      </c>
      <c r="N39" s="19">
        <v>85</v>
      </c>
      <c r="O39" s="19">
        <v>88</v>
      </c>
      <c r="P39" s="19">
        <v>90</v>
      </c>
      <c r="Q39" s="19">
        <v>92</v>
      </c>
      <c r="R39" s="19">
        <v>95</v>
      </c>
      <c r="S39" s="19">
        <v>100</v>
      </c>
      <c r="T39" s="19">
        <v>105</v>
      </c>
      <c r="U39" s="19">
        <v>110</v>
      </c>
      <c r="V39" s="19">
        <v>115</v>
      </c>
    </row>
    <row r="40" spans="1:22" x14ac:dyDescent="0.3">
      <c r="M40" s="19">
        <v>120</v>
      </c>
      <c r="N40" s="19">
        <v>125</v>
      </c>
      <c r="O40" s="19">
        <v>130</v>
      </c>
      <c r="P40" s="19">
        <v>135</v>
      </c>
      <c r="Q40" s="19">
        <v>140</v>
      </c>
      <c r="R40" s="19">
        <v>145</v>
      </c>
      <c r="S40" s="19">
        <v>150</v>
      </c>
      <c r="T40" s="19">
        <v>155</v>
      </c>
      <c r="U40" s="19">
        <v>160</v>
      </c>
      <c r="V40" s="19">
        <v>165</v>
      </c>
    </row>
    <row r="41" spans="1:22" x14ac:dyDescent="0.3">
      <c r="A41" s="24" t="s">
        <v>140</v>
      </c>
      <c r="B41" s="3" t="s">
        <v>183</v>
      </c>
      <c r="C41" s="3">
        <f>QUARTILE(M38:V47,1)</f>
        <v>143.75</v>
      </c>
      <c r="D41" s="3" t="s">
        <v>201</v>
      </c>
      <c r="M41" s="19">
        <v>170</v>
      </c>
      <c r="N41" s="19">
        <v>175</v>
      </c>
      <c r="O41" s="19">
        <v>180</v>
      </c>
      <c r="P41" s="19">
        <v>185</v>
      </c>
      <c r="Q41" s="19">
        <v>190</v>
      </c>
      <c r="R41" s="19">
        <v>195</v>
      </c>
      <c r="S41" s="19">
        <v>200</v>
      </c>
      <c r="T41" s="19">
        <v>205</v>
      </c>
      <c r="U41" s="19">
        <v>210</v>
      </c>
      <c r="V41" s="19">
        <v>215</v>
      </c>
    </row>
    <row r="42" spans="1:22" x14ac:dyDescent="0.3">
      <c r="B42" s="3" t="s">
        <v>200</v>
      </c>
      <c r="C42" s="3">
        <f>QUARTILE(M38:V47,2)</f>
        <v>267.5</v>
      </c>
      <c r="D42" s="3" t="s">
        <v>201</v>
      </c>
      <c r="M42" s="19">
        <v>220</v>
      </c>
      <c r="N42" s="19">
        <v>225</v>
      </c>
      <c r="O42" s="19">
        <v>230</v>
      </c>
      <c r="P42" s="19">
        <v>235</v>
      </c>
      <c r="Q42" s="19">
        <v>240</v>
      </c>
      <c r="R42" s="19">
        <v>245</v>
      </c>
      <c r="S42" s="19">
        <v>250</v>
      </c>
      <c r="T42" s="19">
        <v>255</v>
      </c>
      <c r="U42" s="19">
        <v>260</v>
      </c>
      <c r="V42" s="19">
        <v>265</v>
      </c>
    </row>
    <row r="43" spans="1:22" x14ac:dyDescent="0.3">
      <c r="B43" s="3" t="s">
        <v>185</v>
      </c>
      <c r="C43" s="3">
        <f>QUARTILE(M38:V47,3)</f>
        <v>391.25</v>
      </c>
      <c r="D43" s="3" t="s">
        <v>201</v>
      </c>
      <c r="M43" s="19">
        <v>270</v>
      </c>
      <c r="N43" s="19">
        <v>275</v>
      </c>
      <c r="O43" s="19">
        <v>280</v>
      </c>
      <c r="P43" s="19">
        <v>285</v>
      </c>
      <c r="Q43" s="19">
        <v>290</v>
      </c>
      <c r="R43" s="19">
        <v>295</v>
      </c>
      <c r="S43" s="19">
        <v>300</v>
      </c>
      <c r="T43" s="19">
        <v>305</v>
      </c>
      <c r="U43" s="19">
        <v>310</v>
      </c>
      <c r="V43" s="19">
        <v>315</v>
      </c>
    </row>
    <row r="44" spans="1:22" x14ac:dyDescent="0.3">
      <c r="M44" s="19">
        <v>320</v>
      </c>
      <c r="N44" s="19">
        <v>325</v>
      </c>
      <c r="O44" s="19">
        <v>330</v>
      </c>
      <c r="P44" s="19">
        <v>335</v>
      </c>
      <c r="Q44" s="19">
        <v>340</v>
      </c>
      <c r="R44" s="19">
        <v>345</v>
      </c>
      <c r="S44" s="19">
        <v>350</v>
      </c>
      <c r="T44" s="19">
        <v>355</v>
      </c>
      <c r="U44" s="19">
        <v>360</v>
      </c>
      <c r="V44" s="19">
        <v>365</v>
      </c>
    </row>
    <row r="45" spans="1:22" x14ac:dyDescent="0.3">
      <c r="A45" s="34" t="s">
        <v>202</v>
      </c>
      <c r="B45" s="34"/>
      <c r="C45" s="34"/>
      <c r="D45" s="34"/>
      <c r="E45" s="34"/>
      <c r="F45" s="34"/>
      <c r="G45" s="34"/>
      <c r="H45" s="34"/>
      <c r="I45" s="34"/>
      <c r="J45" s="34"/>
      <c r="M45" s="19">
        <v>370</v>
      </c>
      <c r="N45" s="19">
        <v>375</v>
      </c>
      <c r="O45" s="19">
        <v>380</v>
      </c>
      <c r="P45" s="19">
        <v>385</v>
      </c>
      <c r="Q45" s="19">
        <v>390</v>
      </c>
      <c r="R45" s="19">
        <v>395</v>
      </c>
      <c r="S45" s="19">
        <v>400</v>
      </c>
      <c r="T45" s="19">
        <v>405</v>
      </c>
      <c r="U45" s="19">
        <v>410</v>
      </c>
      <c r="V45" s="19">
        <v>415</v>
      </c>
    </row>
    <row r="46" spans="1:22" x14ac:dyDescent="0.3">
      <c r="M46" s="19">
        <v>420</v>
      </c>
      <c r="N46" s="19">
        <v>425</v>
      </c>
      <c r="O46" s="19">
        <v>430</v>
      </c>
      <c r="P46" s="19">
        <v>435</v>
      </c>
      <c r="Q46" s="19">
        <v>440</v>
      </c>
      <c r="R46" s="19">
        <v>445</v>
      </c>
      <c r="S46" s="19">
        <v>450</v>
      </c>
      <c r="T46" s="19">
        <v>455</v>
      </c>
      <c r="U46" s="19">
        <v>460</v>
      </c>
      <c r="V46" s="19">
        <v>465</v>
      </c>
    </row>
    <row r="47" spans="1:22" x14ac:dyDescent="0.3">
      <c r="A47" s="24" t="s">
        <v>140</v>
      </c>
      <c r="B47" s="3" t="s">
        <v>203</v>
      </c>
      <c r="C47" s="3">
        <f>PERCENTILE(M38:V47,0.15)</f>
        <v>94.55</v>
      </c>
      <c r="D47" s="3" t="s">
        <v>206</v>
      </c>
      <c r="M47" s="19">
        <v>470</v>
      </c>
      <c r="N47" s="19">
        <v>475</v>
      </c>
      <c r="O47" s="19">
        <v>480</v>
      </c>
      <c r="P47" s="19">
        <v>485</v>
      </c>
      <c r="Q47" s="19">
        <v>490</v>
      </c>
      <c r="R47" s="19">
        <v>495</v>
      </c>
      <c r="S47" s="19">
        <v>500</v>
      </c>
      <c r="T47" s="19">
        <v>505</v>
      </c>
      <c r="U47" s="19">
        <v>510</v>
      </c>
      <c r="V47" s="19">
        <v>515</v>
      </c>
    </row>
    <row r="48" spans="1:22" x14ac:dyDescent="0.3">
      <c r="B48" s="3" t="s">
        <v>204</v>
      </c>
      <c r="C48" s="3">
        <f>PERCENTILE(M38:V47,0.5)</f>
        <v>267.5</v>
      </c>
      <c r="D48" s="3" t="s">
        <v>206</v>
      </c>
    </row>
    <row r="49" spans="1:12" x14ac:dyDescent="0.3">
      <c r="B49" s="3" t="s">
        <v>205</v>
      </c>
      <c r="C49" s="3">
        <f>PERCENTILE(M38:V47,0.85)</f>
        <v>440.74999999999994</v>
      </c>
      <c r="D49" s="3" t="s">
        <v>206</v>
      </c>
    </row>
    <row r="51" spans="1:12" x14ac:dyDescent="0.3">
      <c r="A51" s="34" t="s">
        <v>207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3" spans="1:12" x14ac:dyDescent="0.3">
      <c r="A53" t="s">
        <v>208</v>
      </c>
      <c r="B53" t="s">
        <v>209</v>
      </c>
    </row>
    <row r="54" spans="1:12" x14ac:dyDescent="0.3">
      <c r="B54" t="s">
        <v>210</v>
      </c>
    </row>
    <row r="55" spans="1:12" x14ac:dyDescent="0.3">
      <c r="B55" t="s">
        <v>211</v>
      </c>
    </row>
    <row r="56" spans="1:12" x14ac:dyDescent="0.3">
      <c r="B56" t="s">
        <v>212</v>
      </c>
    </row>
    <row r="57" spans="1:12" x14ac:dyDescent="0.3">
      <c r="B57" t="s">
        <v>213</v>
      </c>
    </row>
    <row r="58" spans="1:12" x14ac:dyDescent="0.3">
      <c r="B58" t="s">
        <v>214</v>
      </c>
    </row>
    <row r="61" spans="1:12" x14ac:dyDescent="0.3">
      <c r="A61" s="42" t="s">
        <v>215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3" spans="1:12" x14ac:dyDescent="0.3">
      <c r="A63" t="s">
        <v>1</v>
      </c>
    </row>
    <row r="65" spans="1:22" x14ac:dyDescent="0.3">
      <c r="A65" s="37" t="s">
        <v>216</v>
      </c>
      <c r="B65" s="37"/>
      <c r="C65" s="37"/>
      <c r="D65" s="37"/>
      <c r="E65" s="37"/>
      <c r="F65" s="37"/>
      <c r="G65" s="37"/>
    </row>
    <row r="66" spans="1:22" x14ac:dyDescent="0.3">
      <c r="M66" s="37" t="s">
        <v>217</v>
      </c>
      <c r="N66" s="37"/>
    </row>
    <row r="67" spans="1:22" x14ac:dyDescent="0.3">
      <c r="A67" t="s">
        <v>34</v>
      </c>
    </row>
    <row r="68" spans="1:22" x14ac:dyDescent="0.3">
      <c r="M68" s="19">
        <v>20</v>
      </c>
      <c r="N68" s="19">
        <v>25</v>
      </c>
      <c r="O68" s="19">
        <v>30</v>
      </c>
      <c r="P68" s="19">
        <v>35</v>
      </c>
      <c r="Q68" s="19">
        <v>40</v>
      </c>
      <c r="R68" s="19">
        <v>45</v>
      </c>
      <c r="S68" s="19">
        <v>50</v>
      </c>
      <c r="T68" s="19">
        <v>55</v>
      </c>
      <c r="U68" s="19">
        <v>60</v>
      </c>
      <c r="V68" s="19">
        <v>65</v>
      </c>
    </row>
    <row r="69" spans="1:22" x14ac:dyDescent="0.3">
      <c r="A69" s="34" t="s">
        <v>218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M69" s="19">
        <v>70</v>
      </c>
      <c r="N69" s="19">
        <v>75</v>
      </c>
      <c r="O69" s="19">
        <v>80</v>
      </c>
      <c r="P69" s="19">
        <v>85</v>
      </c>
      <c r="Q69" s="19">
        <v>90</v>
      </c>
      <c r="R69" s="19">
        <v>95</v>
      </c>
      <c r="S69" s="19">
        <v>100</v>
      </c>
      <c r="T69" s="19">
        <v>105</v>
      </c>
      <c r="U69" s="19">
        <v>110</v>
      </c>
      <c r="V69" s="19">
        <v>115</v>
      </c>
    </row>
    <row r="70" spans="1:22" x14ac:dyDescent="0.3">
      <c r="M70" s="19">
        <v>120</v>
      </c>
      <c r="N70" s="19">
        <v>125</v>
      </c>
      <c r="O70" s="19">
        <v>130</v>
      </c>
      <c r="P70" s="19">
        <v>135</v>
      </c>
      <c r="Q70" s="19">
        <v>140</v>
      </c>
      <c r="R70" s="19">
        <v>145</v>
      </c>
      <c r="S70" s="19">
        <v>150</v>
      </c>
      <c r="T70" s="19">
        <v>155</v>
      </c>
      <c r="U70" s="19">
        <v>160</v>
      </c>
      <c r="V70" s="19">
        <v>165</v>
      </c>
    </row>
    <row r="71" spans="1:22" x14ac:dyDescent="0.3">
      <c r="A71" t="s">
        <v>140</v>
      </c>
      <c r="B71" s="3" t="s">
        <v>183</v>
      </c>
      <c r="C71" s="3">
        <f>QUARTILE(M68:V78,1)</f>
        <v>156.25</v>
      </c>
      <c r="M71" s="19">
        <v>170</v>
      </c>
      <c r="N71" s="19">
        <v>175</v>
      </c>
      <c r="O71" s="19">
        <v>180</v>
      </c>
      <c r="P71" s="19">
        <v>185</v>
      </c>
      <c r="Q71" s="19">
        <v>190</v>
      </c>
      <c r="R71" s="19">
        <v>195</v>
      </c>
      <c r="S71" s="19">
        <v>200</v>
      </c>
      <c r="T71" s="19">
        <v>205</v>
      </c>
      <c r="U71" s="19">
        <v>210</v>
      </c>
      <c r="V71" s="19">
        <v>215</v>
      </c>
    </row>
    <row r="72" spans="1:22" x14ac:dyDescent="0.3">
      <c r="B72" s="3" t="s">
        <v>200</v>
      </c>
      <c r="C72" s="3">
        <f>QUARTILE(M68:V78,2)</f>
        <v>292.5</v>
      </c>
      <c r="M72" s="19">
        <v>220</v>
      </c>
      <c r="N72" s="19">
        <v>225</v>
      </c>
      <c r="O72" s="19">
        <v>230</v>
      </c>
      <c r="P72" s="19">
        <v>235</v>
      </c>
      <c r="Q72" s="19">
        <v>240</v>
      </c>
      <c r="R72" s="19">
        <v>245</v>
      </c>
      <c r="S72" s="19">
        <v>250</v>
      </c>
      <c r="T72" s="19">
        <v>255</v>
      </c>
      <c r="U72" s="19">
        <v>260</v>
      </c>
      <c r="V72" s="19">
        <v>265</v>
      </c>
    </row>
    <row r="73" spans="1:22" x14ac:dyDescent="0.3">
      <c r="B73" s="3" t="s">
        <v>185</v>
      </c>
      <c r="C73" s="3">
        <f>QUARTILE(M68:V78,3)</f>
        <v>428.75</v>
      </c>
      <c r="M73" s="19">
        <v>270</v>
      </c>
      <c r="N73" s="19">
        <v>275</v>
      </c>
      <c r="O73" s="19">
        <v>280</v>
      </c>
      <c r="P73" s="19">
        <v>285</v>
      </c>
      <c r="Q73" s="19">
        <v>290</v>
      </c>
      <c r="R73" s="19">
        <v>295</v>
      </c>
      <c r="S73" s="19">
        <v>300</v>
      </c>
      <c r="T73" s="19">
        <v>305</v>
      </c>
      <c r="U73" s="19">
        <v>310</v>
      </c>
      <c r="V73" s="19">
        <v>315</v>
      </c>
    </row>
    <row r="74" spans="1:22" x14ac:dyDescent="0.3">
      <c r="M74" s="19">
        <v>320</v>
      </c>
      <c r="N74" s="19">
        <v>325</v>
      </c>
      <c r="O74" s="19">
        <v>330</v>
      </c>
      <c r="P74" s="19">
        <v>335</v>
      </c>
      <c r="Q74" s="19">
        <v>340</v>
      </c>
      <c r="R74" s="19">
        <v>345</v>
      </c>
      <c r="S74" s="19">
        <v>350</v>
      </c>
      <c r="T74" s="19">
        <v>355</v>
      </c>
      <c r="U74" s="19">
        <v>360</v>
      </c>
      <c r="V74" s="19">
        <v>365</v>
      </c>
    </row>
    <row r="75" spans="1:22" x14ac:dyDescent="0.3">
      <c r="A75" s="34" t="s">
        <v>219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M75" s="19">
        <v>370</v>
      </c>
      <c r="N75" s="19">
        <v>375</v>
      </c>
      <c r="O75" s="19">
        <v>380</v>
      </c>
      <c r="P75" s="19">
        <v>385</v>
      </c>
      <c r="Q75" s="19">
        <v>390</v>
      </c>
      <c r="R75" s="19">
        <v>395</v>
      </c>
      <c r="S75" s="19">
        <v>400</v>
      </c>
      <c r="T75" s="19">
        <v>405</v>
      </c>
      <c r="U75" s="19">
        <v>410</v>
      </c>
      <c r="V75" s="19">
        <v>415</v>
      </c>
    </row>
    <row r="76" spans="1:22" x14ac:dyDescent="0.3">
      <c r="M76" s="19">
        <v>420</v>
      </c>
      <c r="N76" s="19">
        <v>425</v>
      </c>
      <c r="O76" s="19">
        <v>430</v>
      </c>
      <c r="P76" s="19">
        <v>435</v>
      </c>
      <c r="Q76" s="19">
        <v>440</v>
      </c>
      <c r="R76" s="19">
        <v>445</v>
      </c>
      <c r="S76" s="19">
        <v>450</v>
      </c>
      <c r="T76" s="19">
        <v>455</v>
      </c>
      <c r="U76" s="19">
        <v>460</v>
      </c>
      <c r="V76" s="19">
        <v>465</v>
      </c>
    </row>
    <row r="77" spans="1:22" x14ac:dyDescent="0.3">
      <c r="A77" t="s">
        <v>140</v>
      </c>
      <c r="B77" s="3" t="s">
        <v>220</v>
      </c>
      <c r="C77" s="3">
        <f>PERCENTILE(M68:V78,0.2)</f>
        <v>129</v>
      </c>
      <c r="M77" s="19">
        <v>470</v>
      </c>
      <c r="N77" s="19">
        <v>475</v>
      </c>
      <c r="O77" s="19">
        <v>480</v>
      </c>
      <c r="P77" s="19">
        <v>485</v>
      </c>
      <c r="Q77" s="19">
        <v>490</v>
      </c>
      <c r="R77" s="19">
        <v>495</v>
      </c>
      <c r="S77" s="19">
        <v>500</v>
      </c>
      <c r="T77" s="19">
        <v>505</v>
      </c>
      <c r="U77" s="19">
        <v>510</v>
      </c>
      <c r="V77" s="19">
        <v>515</v>
      </c>
    </row>
    <row r="78" spans="1:22" x14ac:dyDescent="0.3">
      <c r="B78" s="3" t="s">
        <v>221</v>
      </c>
      <c r="C78" s="3">
        <f>PERCENTILE(M68:V78,0.4)</f>
        <v>238</v>
      </c>
      <c r="M78" s="19">
        <v>520</v>
      </c>
      <c r="N78" s="19">
        <v>525</v>
      </c>
      <c r="O78" s="19">
        <v>530</v>
      </c>
      <c r="P78" s="19">
        <v>535</v>
      </c>
      <c r="Q78" s="19">
        <v>540</v>
      </c>
      <c r="R78" s="19">
        <v>545</v>
      </c>
      <c r="S78" s="19">
        <v>550</v>
      </c>
      <c r="T78" s="19">
        <v>555</v>
      </c>
      <c r="U78" s="19">
        <v>560</v>
      </c>
      <c r="V78" s="19">
        <v>565</v>
      </c>
    </row>
    <row r="79" spans="1:22" x14ac:dyDescent="0.3">
      <c r="B79" s="3" t="s">
        <v>222</v>
      </c>
      <c r="C79" s="3">
        <f>PERCENTILE(M68:V78,0.8)</f>
        <v>456</v>
      </c>
    </row>
    <row r="81" spans="1:14" x14ac:dyDescent="0.3">
      <c r="A81" s="34" t="s">
        <v>223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</row>
    <row r="83" spans="1:14" x14ac:dyDescent="0.3">
      <c r="A83" t="s">
        <v>208</v>
      </c>
      <c r="B83" t="s">
        <v>224</v>
      </c>
    </row>
    <row r="84" spans="1:14" x14ac:dyDescent="0.3">
      <c r="B84" t="s">
        <v>225</v>
      </c>
    </row>
    <row r="85" spans="1:14" x14ac:dyDescent="0.3">
      <c r="B85" t="s">
        <v>226</v>
      </c>
    </row>
    <row r="86" spans="1:14" x14ac:dyDescent="0.3">
      <c r="B86" t="s">
        <v>227</v>
      </c>
    </row>
    <row r="87" spans="1:14" x14ac:dyDescent="0.3">
      <c r="B87" t="s">
        <v>228</v>
      </c>
    </row>
    <row r="90" spans="1:14" x14ac:dyDescent="0.3">
      <c r="A90" s="42" t="s">
        <v>229</v>
      </c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</row>
    <row r="92" spans="1:14" x14ac:dyDescent="0.3">
      <c r="A92" t="s">
        <v>1</v>
      </c>
    </row>
    <row r="94" spans="1:14" x14ac:dyDescent="0.3">
      <c r="A94" s="37" t="s">
        <v>230</v>
      </c>
      <c r="B94" s="37"/>
      <c r="C94" s="37"/>
      <c r="D94" s="37"/>
      <c r="E94" s="37"/>
      <c r="F94" s="37"/>
      <c r="G94" s="37"/>
    </row>
    <row r="95" spans="1:14" x14ac:dyDescent="0.3">
      <c r="M95" s="37" t="s">
        <v>231</v>
      </c>
      <c r="N95" s="37"/>
    </row>
    <row r="96" spans="1:14" x14ac:dyDescent="0.3">
      <c r="A96" t="s">
        <v>34</v>
      </c>
    </row>
    <row r="97" spans="1:22" x14ac:dyDescent="0.3">
      <c r="M97" s="19">
        <v>15</v>
      </c>
      <c r="N97" s="19">
        <v>20</v>
      </c>
      <c r="O97" s="19">
        <v>25</v>
      </c>
      <c r="P97" s="19">
        <v>30</v>
      </c>
      <c r="Q97" s="19">
        <v>35</v>
      </c>
      <c r="R97" s="19">
        <v>40</v>
      </c>
      <c r="S97" s="19">
        <v>45</v>
      </c>
      <c r="T97" s="19">
        <v>50</v>
      </c>
      <c r="U97" s="19">
        <v>55</v>
      </c>
      <c r="V97" s="19">
        <v>60</v>
      </c>
    </row>
    <row r="98" spans="1:22" x14ac:dyDescent="0.3">
      <c r="A98" s="2" t="s">
        <v>232</v>
      </c>
      <c r="B98" s="2"/>
      <c r="C98" s="2"/>
      <c r="D98" s="2"/>
      <c r="E98" s="2"/>
      <c r="F98" s="2"/>
      <c r="G98" s="2"/>
      <c r="H98" s="2"/>
      <c r="I98" s="2"/>
      <c r="J98" s="2"/>
      <c r="M98" s="19">
        <v>65</v>
      </c>
      <c r="N98" s="19">
        <v>70</v>
      </c>
      <c r="O98" s="19">
        <v>75</v>
      </c>
      <c r="P98" s="19">
        <v>80</v>
      </c>
      <c r="Q98" s="19">
        <v>85</v>
      </c>
      <c r="R98" s="19">
        <v>90</v>
      </c>
      <c r="S98" s="19">
        <v>95</v>
      </c>
      <c r="T98" s="19">
        <v>100</v>
      </c>
      <c r="U98" s="19">
        <v>105</v>
      </c>
      <c r="V98" s="19">
        <v>110</v>
      </c>
    </row>
    <row r="99" spans="1:22" x14ac:dyDescent="0.3">
      <c r="M99" s="19">
        <v>115</v>
      </c>
      <c r="N99" s="19">
        <v>120</v>
      </c>
      <c r="O99" s="19">
        <v>125</v>
      </c>
      <c r="P99" s="19">
        <v>130</v>
      </c>
      <c r="Q99" s="19">
        <v>135</v>
      </c>
      <c r="R99" s="19">
        <v>140</v>
      </c>
      <c r="S99" s="19">
        <v>145</v>
      </c>
      <c r="T99" s="19">
        <v>150</v>
      </c>
      <c r="U99" s="19">
        <v>155</v>
      </c>
      <c r="V99" s="19">
        <v>160</v>
      </c>
    </row>
    <row r="100" spans="1:22" x14ac:dyDescent="0.3">
      <c r="A100" t="s">
        <v>208</v>
      </c>
      <c r="B100" s="3" t="s">
        <v>183</v>
      </c>
      <c r="C100" s="3">
        <f>QUARTILE(M97:V108,1)</f>
        <v>163.75</v>
      </c>
      <c r="D100" s="3" t="s">
        <v>233</v>
      </c>
      <c r="M100" s="19">
        <v>165</v>
      </c>
      <c r="N100" s="19">
        <v>170</v>
      </c>
      <c r="O100" s="19">
        <v>175</v>
      </c>
      <c r="P100" s="19">
        <v>180</v>
      </c>
      <c r="Q100" s="19">
        <v>185</v>
      </c>
      <c r="R100" s="19">
        <v>190</v>
      </c>
      <c r="S100" s="19">
        <v>195</v>
      </c>
      <c r="T100" s="19">
        <v>200</v>
      </c>
      <c r="U100" s="19">
        <v>205</v>
      </c>
      <c r="V100" s="19">
        <v>210</v>
      </c>
    </row>
    <row r="101" spans="1:22" x14ac:dyDescent="0.3">
      <c r="B101" s="3" t="s">
        <v>200</v>
      </c>
      <c r="C101" s="3">
        <f>QUARTILE(M97:V108,2)</f>
        <v>312.5</v>
      </c>
      <c r="D101" s="3" t="s">
        <v>233</v>
      </c>
      <c r="M101" s="19">
        <v>215</v>
      </c>
      <c r="N101" s="19">
        <v>220</v>
      </c>
      <c r="O101" s="19">
        <v>225</v>
      </c>
      <c r="P101" s="19">
        <v>230</v>
      </c>
      <c r="Q101" s="19">
        <v>235</v>
      </c>
      <c r="R101" s="19">
        <v>240</v>
      </c>
      <c r="S101" s="19">
        <v>245</v>
      </c>
      <c r="T101" s="19">
        <v>250</v>
      </c>
      <c r="U101" s="19">
        <v>255</v>
      </c>
      <c r="V101" s="19">
        <v>260</v>
      </c>
    </row>
    <row r="102" spans="1:22" x14ac:dyDescent="0.3">
      <c r="B102" s="3" t="s">
        <v>185</v>
      </c>
      <c r="C102" s="3">
        <f>QUARTILE(M97:V108,3)</f>
        <v>461.25</v>
      </c>
      <c r="D102" s="3" t="s">
        <v>233</v>
      </c>
      <c r="M102" s="19">
        <v>265</v>
      </c>
      <c r="N102" s="19">
        <v>270</v>
      </c>
      <c r="O102" s="19">
        <v>275</v>
      </c>
      <c r="P102" s="19">
        <v>280</v>
      </c>
      <c r="Q102" s="19">
        <v>285</v>
      </c>
      <c r="R102" s="19">
        <v>290</v>
      </c>
      <c r="S102" s="19">
        <v>295</v>
      </c>
      <c r="T102" s="19">
        <v>300</v>
      </c>
      <c r="U102" s="19">
        <v>305</v>
      </c>
      <c r="V102" s="19">
        <v>310</v>
      </c>
    </row>
    <row r="103" spans="1:22" x14ac:dyDescent="0.3">
      <c r="M103" s="19">
        <v>315</v>
      </c>
      <c r="N103" s="19">
        <v>320</v>
      </c>
      <c r="O103" s="19">
        <v>325</v>
      </c>
      <c r="P103" s="19">
        <v>330</v>
      </c>
      <c r="Q103" s="19">
        <v>335</v>
      </c>
      <c r="R103" s="19">
        <v>340</v>
      </c>
      <c r="S103" s="19">
        <v>345</v>
      </c>
      <c r="T103" s="19">
        <v>350</v>
      </c>
      <c r="U103" s="19">
        <v>355</v>
      </c>
      <c r="V103" s="19">
        <v>360</v>
      </c>
    </row>
    <row r="104" spans="1:22" x14ac:dyDescent="0.3">
      <c r="A104" s="34" t="s">
        <v>234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M104" s="19">
        <v>365</v>
      </c>
      <c r="N104" s="19">
        <v>370</v>
      </c>
      <c r="O104" s="19">
        <v>375</v>
      </c>
      <c r="P104" s="19">
        <v>380</v>
      </c>
      <c r="Q104" s="19">
        <v>385</v>
      </c>
      <c r="R104" s="19">
        <v>390</v>
      </c>
      <c r="S104" s="19">
        <v>395</v>
      </c>
      <c r="T104" s="19">
        <v>400</v>
      </c>
      <c r="U104" s="19">
        <v>405</v>
      </c>
      <c r="V104" s="19">
        <v>410</v>
      </c>
    </row>
    <row r="105" spans="1:22" x14ac:dyDescent="0.3">
      <c r="M105" s="19">
        <v>415</v>
      </c>
      <c r="N105" s="19">
        <v>420</v>
      </c>
      <c r="O105" s="19">
        <v>425</v>
      </c>
      <c r="P105" s="19">
        <v>430</v>
      </c>
      <c r="Q105" s="19">
        <v>435</v>
      </c>
      <c r="R105" s="19">
        <v>440</v>
      </c>
      <c r="S105" s="19">
        <v>445</v>
      </c>
      <c r="T105" s="19">
        <v>450</v>
      </c>
      <c r="U105" s="19">
        <v>455</v>
      </c>
      <c r="V105" s="19">
        <v>460</v>
      </c>
    </row>
    <row r="106" spans="1:22" x14ac:dyDescent="0.3">
      <c r="A106" t="s">
        <v>208</v>
      </c>
      <c r="B106" s="3" t="s">
        <v>235</v>
      </c>
      <c r="C106" s="3">
        <f>PERCENTILE(M97:V108,0.3)</f>
        <v>193.49999999999997</v>
      </c>
      <c r="D106" s="3" t="s">
        <v>233</v>
      </c>
      <c r="M106" s="19">
        <v>465</v>
      </c>
      <c r="N106" s="19">
        <v>470</v>
      </c>
      <c r="O106" s="19">
        <v>475</v>
      </c>
      <c r="P106" s="19">
        <v>480</v>
      </c>
      <c r="Q106" s="19">
        <v>485</v>
      </c>
      <c r="R106" s="19">
        <v>490</v>
      </c>
      <c r="S106" s="19">
        <v>495</v>
      </c>
      <c r="T106" s="19">
        <v>500</v>
      </c>
      <c r="U106" s="19">
        <v>505</v>
      </c>
      <c r="V106" s="19">
        <v>510</v>
      </c>
    </row>
    <row r="107" spans="1:22" x14ac:dyDescent="0.3">
      <c r="B107" s="3" t="s">
        <v>204</v>
      </c>
      <c r="C107" s="3">
        <f>PERCENTILE(M97:V108,0.5)</f>
        <v>312.5</v>
      </c>
      <c r="D107" s="3" t="s">
        <v>233</v>
      </c>
      <c r="M107" s="19">
        <v>515</v>
      </c>
      <c r="N107" s="19">
        <v>520</v>
      </c>
      <c r="O107" s="19">
        <v>525</v>
      </c>
      <c r="P107" s="19">
        <v>530</v>
      </c>
      <c r="Q107" s="19">
        <v>535</v>
      </c>
      <c r="R107" s="19">
        <v>540</v>
      </c>
      <c r="S107" s="19">
        <v>545</v>
      </c>
      <c r="T107" s="19">
        <v>550</v>
      </c>
      <c r="U107" s="19">
        <v>555</v>
      </c>
      <c r="V107" s="19">
        <v>560</v>
      </c>
    </row>
    <row r="108" spans="1:22" x14ac:dyDescent="0.3">
      <c r="B108" s="3" t="s">
        <v>236</v>
      </c>
      <c r="C108" s="3">
        <f>PERCENTILE(M97:V108,0.7)</f>
        <v>431.5</v>
      </c>
      <c r="D108" s="3" t="s">
        <v>233</v>
      </c>
      <c r="M108" s="19">
        <v>565</v>
      </c>
      <c r="N108" s="19">
        <v>570</v>
      </c>
      <c r="O108" s="19">
        <v>575</v>
      </c>
      <c r="P108" s="19">
        <v>580</v>
      </c>
      <c r="Q108" s="19">
        <v>585</v>
      </c>
      <c r="R108" s="19">
        <v>590</v>
      </c>
      <c r="S108" s="19">
        <v>595</v>
      </c>
      <c r="T108" s="19">
        <v>600</v>
      </c>
      <c r="U108" s="19">
        <v>605</v>
      </c>
      <c r="V108" s="19">
        <v>610</v>
      </c>
    </row>
    <row r="110" spans="1:22" x14ac:dyDescent="0.3">
      <c r="A110" s="34" t="s">
        <v>237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</row>
    <row r="112" spans="1:22" x14ac:dyDescent="0.3">
      <c r="A112" s="24" t="s">
        <v>208</v>
      </c>
      <c r="B112" t="s">
        <v>238</v>
      </c>
    </row>
    <row r="113" spans="1:22" x14ac:dyDescent="0.3">
      <c r="B113" t="s">
        <v>239</v>
      </c>
    </row>
    <row r="114" spans="1:22" x14ac:dyDescent="0.3">
      <c r="B114" t="s">
        <v>240</v>
      </c>
    </row>
    <row r="115" spans="1:22" x14ac:dyDescent="0.3">
      <c r="B115" t="s">
        <v>241</v>
      </c>
    </row>
    <row r="116" spans="1:22" x14ac:dyDescent="0.3">
      <c r="B116" t="s">
        <v>242</v>
      </c>
    </row>
    <row r="119" spans="1:22" x14ac:dyDescent="0.3">
      <c r="A119" s="42" t="s">
        <v>243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</row>
    <row r="121" spans="1:22" x14ac:dyDescent="0.3">
      <c r="A121" t="s">
        <v>244</v>
      </c>
    </row>
    <row r="123" spans="1:22" x14ac:dyDescent="0.3">
      <c r="A123" s="37" t="s">
        <v>245</v>
      </c>
      <c r="B123" s="37"/>
      <c r="C123" s="37"/>
      <c r="D123" s="37"/>
      <c r="E123" s="37"/>
      <c r="F123" s="37"/>
      <c r="G123" s="37"/>
    </row>
    <row r="124" spans="1:22" x14ac:dyDescent="0.3">
      <c r="M124" s="37" t="s">
        <v>246</v>
      </c>
      <c r="N124" s="37"/>
    </row>
    <row r="125" spans="1:22" x14ac:dyDescent="0.3">
      <c r="A125" t="s">
        <v>34</v>
      </c>
    </row>
    <row r="126" spans="1:22" x14ac:dyDescent="0.3">
      <c r="M126" s="19">
        <v>0.5</v>
      </c>
      <c r="N126" s="19">
        <v>1</v>
      </c>
      <c r="O126" s="19">
        <v>0.2</v>
      </c>
      <c r="P126" s="19">
        <v>0.7</v>
      </c>
      <c r="Q126" s="19">
        <v>0.3</v>
      </c>
      <c r="R126" s="19">
        <v>0.9</v>
      </c>
      <c r="S126" s="19">
        <v>1.2</v>
      </c>
      <c r="T126" s="19">
        <v>0.6</v>
      </c>
      <c r="U126" s="19">
        <v>0.4</v>
      </c>
      <c r="V126" s="19">
        <v>1.1000000000000001</v>
      </c>
    </row>
    <row r="127" spans="1:22" x14ac:dyDescent="0.3">
      <c r="A127" s="34" t="s">
        <v>247</v>
      </c>
      <c r="B127" s="34"/>
      <c r="C127" s="34"/>
      <c r="D127" s="34"/>
      <c r="E127" s="34"/>
      <c r="F127" s="34"/>
      <c r="G127" s="34"/>
      <c r="H127" s="34"/>
      <c r="I127" s="34"/>
      <c r="J127" s="34"/>
      <c r="M127" s="19">
        <v>0.8</v>
      </c>
      <c r="N127" s="19">
        <v>0.5</v>
      </c>
      <c r="O127" s="19">
        <v>0.3</v>
      </c>
      <c r="P127" s="19">
        <v>0.6</v>
      </c>
      <c r="Q127" s="19">
        <v>1</v>
      </c>
      <c r="R127" s="19">
        <v>0.4</v>
      </c>
      <c r="S127" s="19">
        <v>0.5</v>
      </c>
      <c r="T127" s="19">
        <v>0.7</v>
      </c>
      <c r="U127" s="19">
        <v>0.9</v>
      </c>
      <c r="V127" s="19">
        <v>1.3</v>
      </c>
    </row>
    <row r="128" spans="1:22" x14ac:dyDescent="0.3">
      <c r="M128" s="19">
        <v>0.8</v>
      </c>
      <c r="N128" s="19">
        <v>0.6</v>
      </c>
      <c r="O128" s="19">
        <v>0.4</v>
      </c>
      <c r="P128" s="19">
        <v>0.7</v>
      </c>
      <c r="Q128" s="19">
        <v>0.9</v>
      </c>
      <c r="R128" s="19">
        <v>0.5</v>
      </c>
      <c r="S128" s="19">
        <v>0.2</v>
      </c>
      <c r="T128" s="19">
        <v>1</v>
      </c>
      <c r="U128" s="19">
        <v>0.8</v>
      </c>
      <c r="V128" s="19">
        <v>0.3</v>
      </c>
    </row>
    <row r="129" spans="1:22" x14ac:dyDescent="0.3">
      <c r="A129" t="s">
        <v>208</v>
      </c>
      <c r="B129" s="3" t="s">
        <v>183</v>
      </c>
      <c r="C129" s="3">
        <f>QUARTILE(M126:V138,1)</f>
        <v>0.4</v>
      </c>
      <c r="D129" s="3" t="s">
        <v>248</v>
      </c>
      <c r="M129" s="19">
        <v>0.6</v>
      </c>
      <c r="N129" s="19">
        <v>0.4</v>
      </c>
      <c r="O129" s="19">
        <v>0.7</v>
      </c>
      <c r="P129" s="19">
        <v>0.9</v>
      </c>
      <c r="Q129" s="19">
        <v>1.2</v>
      </c>
      <c r="R129" s="19">
        <v>0.8</v>
      </c>
      <c r="S129" s="19">
        <v>0.3</v>
      </c>
      <c r="T129" s="19">
        <v>0.6</v>
      </c>
      <c r="U129" s="19">
        <v>0.5</v>
      </c>
      <c r="V129" s="19">
        <v>0.4</v>
      </c>
    </row>
    <row r="130" spans="1:22" x14ac:dyDescent="0.3">
      <c r="B130" s="3" t="s">
        <v>200</v>
      </c>
      <c r="C130" s="3">
        <f>QUARTILE(M126:V138,2)</f>
        <v>0.7</v>
      </c>
      <c r="D130" s="3" t="s">
        <v>248</v>
      </c>
      <c r="M130" s="19">
        <v>0.7</v>
      </c>
      <c r="N130" s="19">
        <v>0.9</v>
      </c>
      <c r="O130" s="19">
        <v>1.1000000000000001</v>
      </c>
      <c r="P130" s="19">
        <v>0.3</v>
      </c>
      <c r="Q130" s="19">
        <v>1.4</v>
      </c>
      <c r="R130" s="19">
        <v>9</v>
      </c>
      <c r="S130" s="19">
        <v>0.6</v>
      </c>
      <c r="T130" s="19">
        <v>0.2</v>
      </c>
      <c r="U130" s="19">
        <v>1.5</v>
      </c>
      <c r="V130" s="19">
        <v>1</v>
      </c>
    </row>
    <row r="131" spans="1:22" x14ac:dyDescent="0.3">
      <c r="B131" s="3" t="s">
        <v>185</v>
      </c>
      <c r="C131" s="3">
        <f>QUARTILE(M126:V138,3)</f>
        <v>0.9</v>
      </c>
      <c r="D131" s="3" t="s">
        <v>248</v>
      </c>
      <c r="M131" s="19">
        <v>0.6</v>
      </c>
      <c r="N131" s="19">
        <v>0.4</v>
      </c>
      <c r="O131" s="19">
        <v>0.7</v>
      </c>
      <c r="P131" s="19">
        <v>1</v>
      </c>
      <c r="Q131" s="19">
        <v>0.8</v>
      </c>
      <c r="R131" s="19">
        <v>0.3</v>
      </c>
      <c r="S131" s="19">
        <v>0.5</v>
      </c>
      <c r="T131" s="19">
        <v>0.8</v>
      </c>
      <c r="U131" s="19">
        <v>0.6</v>
      </c>
      <c r="V131" s="19">
        <v>0.3</v>
      </c>
    </row>
    <row r="132" spans="1:22" x14ac:dyDescent="0.3">
      <c r="M132" s="19">
        <v>0.4</v>
      </c>
      <c r="N132" s="19">
        <v>0.7</v>
      </c>
      <c r="O132" s="19">
        <v>0.9</v>
      </c>
      <c r="P132" s="19">
        <v>1</v>
      </c>
      <c r="Q132" s="19">
        <v>0.8</v>
      </c>
      <c r="R132" s="19">
        <v>0.3</v>
      </c>
      <c r="S132" s="19">
        <v>0.5</v>
      </c>
      <c r="T132" s="19">
        <v>0.6</v>
      </c>
      <c r="U132" s="19">
        <v>0.4</v>
      </c>
      <c r="V132" s="19">
        <v>0.7</v>
      </c>
    </row>
    <row r="133" spans="1:22" x14ac:dyDescent="0.3">
      <c r="A133" s="34" t="s">
        <v>249</v>
      </c>
      <c r="B133" s="34"/>
      <c r="C133" s="34"/>
      <c r="D133" s="34"/>
      <c r="E133" s="34"/>
      <c r="F133" s="34"/>
      <c r="G133" s="34"/>
      <c r="H133" s="34"/>
      <c r="I133" s="34"/>
      <c r="J133" s="34"/>
      <c r="M133" s="19">
        <v>0.9</v>
      </c>
      <c r="N133" s="19">
        <v>1.1000000000000001</v>
      </c>
      <c r="O133" s="19">
        <v>0.8</v>
      </c>
      <c r="P133" s="19">
        <v>0.3</v>
      </c>
      <c r="Q133" s="19">
        <v>0.5</v>
      </c>
      <c r="R133" s="19">
        <v>0.6</v>
      </c>
      <c r="S133" s="19">
        <v>0.4</v>
      </c>
      <c r="T133" s="19">
        <v>0.7</v>
      </c>
      <c r="U133" s="19">
        <v>0.9</v>
      </c>
      <c r="V133" s="19">
        <v>1</v>
      </c>
    </row>
    <row r="134" spans="1:22" x14ac:dyDescent="0.3">
      <c r="M134" s="19">
        <v>0.8</v>
      </c>
      <c r="N134" s="19">
        <v>0.3</v>
      </c>
      <c r="O134" s="19">
        <v>0.5</v>
      </c>
      <c r="P134" s="19">
        <v>0.6</v>
      </c>
      <c r="Q134" s="19">
        <v>0.4</v>
      </c>
      <c r="R134" s="19">
        <v>0.7</v>
      </c>
      <c r="S134" s="19">
        <v>0.9</v>
      </c>
      <c r="T134" s="19">
        <v>1.1000000000000001</v>
      </c>
      <c r="U134" s="19">
        <v>0.8</v>
      </c>
      <c r="V134" s="19">
        <v>0.3</v>
      </c>
    </row>
    <row r="135" spans="1:22" x14ac:dyDescent="0.3">
      <c r="A135" t="s">
        <v>208</v>
      </c>
      <c r="B135" s="3" t="s">
        <v>188</v>
      </c>
      <c r="C135" s="3">
        <f>PERCENTILE(M126:V138,0.25)</f>
        <v>0.4</v>
      </c>
      <c r="D135" s="3" t="s">
        <v>248</v>
      </c>
      <c r="M135" s="19">
        <v>0.5</v>
      </c>
      <c r="N135" s="19">
        <v>0.6</v>
      </c>
      <c r="O135" s="19">
        <v>0.4</v>
      </c>
      <c r="P135" s="19">
        <v>0.7</v>
      </c>
      <c r="Q135" s="19">
        <v>0.9</v>
      </c>
      <c r="R135" s="19">
        <v>1</v>
      </c>
      <c r="S135" s="19">
        <v>0.8</v>
      </c>
      <c r="T135" s="19">
        <v>0.3</v>
      </c>
      <c r="U135" s="19">
        <v>0.5</v>
      </c>
      <c r="V135" s="19">
        <v>0.6</v>
      </c>
    </row>
    <row r="136" spans="1:22" x14ac:dyDescent="0.3">
      <c r="B136" s="3" t="s">
        <v>204</v>
      </c>
      <c r="C136" s="3">
        <f>PERCENTILE(M126:V138,0.5)</f>
        <v>0.7</v>
      </c>
      <c r="D136" s="3" t="s">
        <v>248</v>
      </c>
      <c r="M136" s="19">
        <v>0.4</v>
      </c>
      <c r="N136" s="19">
        <v>0.7</v>
      </c>
      <c r="O136" s="19">
        <v>0.9</v>
      </c>
      <c r="P136" s="19">
        <v>1.1000000000000001</v>
      </c>
      <c r="Q136" s="19">
        <v>0.8</v>
      </c>
      <c r="R136" s="19">
        <v>0.3</v>
      </c>
      <c r="S136" s="19">
        <v>0.5</v>
      </c>
      <c r="T136" s="19">
        <v>0.6</v>
      </c>
      <c r="U136" s="19">
        <v>0.4</v>
      </c>
      <c r="V136" s="19">
        <v>0.7</v>
      </c>
    </row>
    <row r="137" spans="1:22" x14ac:dyDescent="0.3">
      <c r="B137" s="3" t="s">
        <v>189</v>
      </c>
      <c r="C137" s="3">
        <f>PERCENTILE(M126:V138,0.75)</f>
        <v>0.9</v>
      </c>
      <c r="D137" s="3" t="s">
        <v>248</v>
      </c>
      <c r="M137" s="19">
        <v>0.9</v>
      </c>
      <c r="N137" s="19">
        <v>1</v>
      </c>
      <c r="O137" s="19">
        <v>0.8</v>
      </c>
      <c r="P137" s="19">
        <v>0.3</v>
      </c>
      <c r="Q137" s="19">
        <v>0.5</v>
      </c>
      <c r="R137" s="19">
        <v>0.6</v>
      </c>
      <c r="S137" s="19">
        <v>0.4</v>
      </c>
      <c r="T137" s="19">
        <v>0.7</v>
      </c>
      <c r="U137" s="19">
        <v>0.9</v>
      </c>
      <c r="V137" s="19">
        <v>1.1000000000000001</v>
      </c>
    </row>
    <row r="138" spans="1:22" x14ac:dyDescent="0.3">
      <c r="M138" s="19">
        <v>0.9</v>
      </c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1:22" x14ac:dyDescent="0.3">
      <c r="A139" s="34" t="s">
        <v>250</v>
      </c>
      <c r="B139" s="34"/>
      <c r="C139" s="34"/>
      <c r="D139" s="34"/>
      <c r="E139" s="34"/>
      <c r="F139" s="34"/>
      <c r="G139" s="34"/>
      <c r="H139" s="34"/>
      <c r="I139" s="34"/>
      <c r="J139" s="34"/>
      <c r="K139" s="34"/>
    </row>
    <row r="141" spans="1:22" x14ac:dyDescent="0.3">
      <c r="A141" t="s">
        <v>208</v>
      </c>
      <c r="B141" t="s">
        <v>251</v>
      </c>
    </row>
    <row r="142" spans="1:22" x14ac:dyDescent="0.3">
      <c r="B142" t="s">
        <v>252</v>
      </c>
    </row>
    <row r="143" spans="1:22" x14ac:dyDescent="0.3">
      <c r="B143" t="s">
        <v>253</v>
      </c>
    </row>
    <row r="144" spans="1:22" x14ac:dyDescent="0.3">
      <c r="B144" t="s">
        <v>254</v>
      </c>
    </row>
    <row r="145" spans="2:2" x14ac:dyDescent="0.3">
      <c r="B145" t="s">
        <v>255</v>
      </c>
    </row>
  </sheetData>
  <mergeCells count="28">
    <mergeCell ref="M66:N66"/>
    <mergeCell ref="A39:J39"/>
    <mergeCell ref="A45:J45"/>
    <mergeCell ref="A51:L51"/>
    <mergeCell ref="A31:M31"/>
    <mergeCell ref="A35:G35"/>
    <mergeCell ref="A127:J127"/>
    <mergeCell ref="A104:K104"/>
    <mergeCell ref="A110:L110"/>
    <mergeCell ref="A90:M90"/>
    <mergeCell ref="A94:G94"/>
    <mergeCell ref="M95:N95"/>
    <mergeCell ref="A1:B1"/>
    <mergeCell ref="A119:L119"/>
    <mergeCell ref="A133:J133"/>
    <mergeCell ref="A139:K139"/>
    <mergeCell ref="A123:G123"/>
    <mergeCell ref="A69:K69"/>
    <mergeCell ref="A75:K75"/>
    <mergeCell ref="A81:K81"/>
    <mergeCell ref="A61:L61"/>
    <mergeCell ref="A65:G65"/>
    <mergeCell ref="A2:M2"/>
    <mergeCell ref="A6:I6"/>
    <mergeCell ref="A10:J10"/>
    <mergeCell ref="A16:L16"/>
    <mergeCell ref="A23:L23"/>
    <mergeCell ref="M124:N1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C376-CE7B-4A0A-ADF4-FB629747102B}">
  <dimension ref="A1:AF75"/>
  <sheetViews>
    <sheetView topLeftCell="A11" workbookViewId="0">
      <selection activeCell="H5" sqref="H5"/>
    </sheetView>
  </sheetViews>
  <sheetFormatPr defaultRowHeight="14.4" x14ac:dyDescent="0.3"/>
  <cols>
    <col min="1" max="1" width="10" bestFit="1" customWidth="1"/>
    <col min="2" max="2" width="18" customWidth="1"/>
    <col min="3" max="3" width="11.88671875" customWidth="1"/>
    <col min="4" max="4" width="21.21875" customWidth="1"/>
    <col min="6" max="6" width="11.21875" customWidth="1"/>
    <col min="7" max="7" width="19.77734375" bestFit="1" customWidth="1"/>
    <col min="9" max="9" width="13.21875" bestFit="1" customWidth="1"/>
  </cols>
  <sheetData>
    <row r="1" spans="1:17" x14ac:dyDescent="0.3">
      <c r="A1" s="35" t="s">
        <v>315</v>
      </c>
      <c r="B1" s="35"/>
    </row>
    <row r="2" spans="1:17" x14ac:dyDescent="0.3">
      <c r="A2" s="34" t="s">
        <v>256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4" spans="1:17" x14ac:dyDescent="0.3">
      <c r="A4" t="s">
        <v>1</v>
      </c>
    </row>
    <row r="6" spans="1:17" x14ac:dyDescent="0.3">
      <c r="A6" s="37" t="s">
        <v>257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17" x14ac:dyDescent="0.3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1:17" x14ac:dyDescent="0.3">
      <c r="A8" s="23"/>
      <c r="B8" s="44" t="s">
        <v>258</v>
      </c>
      <c r="C8" s="44"/>
      <c r="D8" s="44"/>
      <c r="E8" s="19">
        <v>10</v>
      </c>
      <c r="F8" s="28">
        <v>12</v>
      </c>
      <c r="G8" s="28">
        <v>15</v>
      </c>
      <c r="H8" s="28">
        <v>18</v>
      </c>
      <c r="I8" s="28">
        <v>20</v>
      </c>
      <c r="J8" s="28">
        <v>22</v>
      </c>
      <c r="K8" s="28">
        <v>25</v>
      </c>
      <c r="L8" s="28">
        <v>28</v>
      </c>
      <c r="M8" s="28">
        <v>30</v>
      </c>
      <c r="N8" s="28">
        <v>32</v>
      </c>
      <c r="O8" s="28">
        <v>35</v>
      </c>
      <c r="P8" s="19">
        <v>38</v>
      </c>
    </row>
    <row r="9" spans="1:17" x14ac:dyDescent="0.3">
      <c r="A9" s="23"/>
      <c r="B9" s="44" t="s">
        <v>259</v>
      </c>
      <c r="C9" s="44"/>
      <c r="D9" s="44"/>
      <c r="E9" s="19">
        <v>50</v>
      </c>
      <c r="F9" s="28">
        <v>55</v>
      </c>
      <c r="G9" s="28">
        <v>60</v>
      </c>
      <c r="H9" s="28">
        <v>65</v>
      </c>
      <c r="I9" s="28">
        <v>70</v>
      </c>
      <c r="J9" s="28">
        <v>75</v>
      </c>
      <c r="K9" s="28">
        <v>80</v>
      </c>
      <c r="L9" s="28">
        <v>85</v>
      </c>
      <c r="M9" s="28">
        <v>90</v>
      </c>
      <c r="N9" s="28">
        <v>95</v>
      </c>
      <c r="O9" s="28">
        <v>100</v>
      </c>
      <c r="P9" s="19">
        <v>105</v>
      </c>
    </row>
    <row r="10" spans="1:17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pans="1:17" x14ac:dyDescent="0.3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7" x14ac:dyDescent="0.3">
      <c r="A12" t="s">
        <v>17</v>
      </c>
    </row>
    <row r="13" spans="1:17" x14ac:dyDescent="0.3">
      <c r="A13" s="34"/>
      <c r="B13" s="34"/>
      <c r="C13" s="34"/>
      <c r="D13" s="34"/>
      <c r="E13" s="34"/>
    </row>
    <row r="14" spans="1:17" x14ac:dyDescent="0.3">
      <c r="A14" s="34" t="s">
        <v>261</v>
      </c>
      <c r="B14" s="34"/>
      <c r="C14" s="34"/>
      <c r="D14" s="34"/>
      <c r="E14" s="34"/>
      <c r="F14" s="34"/>
      <c r="G14" s="34"/>
      <c r="H14" s="34"/>
      <c r="I14" s="34"/>
    </row>
    <row r="15" spans="1:17" ht="15" thickBot="1" x14ac:dyDescent="0.35">
      <c r="D15" s="37"/>
      <c r="E15" s="37"/>
    </row>
    <row r="16" spans="1:17" x14ac:dyDescent="0.3">
      <c r="D16" s="26"/>
      <c r="E16" s="26" t="s">
        <v>258</v>
      </c>
      <c r="F16" s="26" t="s">
        <v>259</v>
      </c>
    </row>
    <row r="17" spans="1:14" x14ac:dyDescent="0.3">
      <c r="D17" t="s">
        <v>258</v>
      </c>
      <c r="E17">
        <v>1</v>
      </c>
      <c r="K17" s="30"/>
      <c r="L17" s="30"/>
    </row>
    <row r="18" spans="1:14" ht="15" thickBot="1" x14ac:dyDescent="0.35">
      <c r="D18" s="25" t="s">
        <v>259</v>
      </c>
      <c r="E18" s="29">
        <v>0.99921031003664817</v>
      </c>
      <c r="F18" s="25">
        <v>1</v>
      </c>
    </row>
    <row r="19" spans="1:14" x14ac:dyDescent="0.3">
      <c r="D19" s="37"/>
      <c r="E19" s="37"/>
    </row>
    <row r="20" spans="1:14" x14ac:dyDescent="0.3">
      <c r="A20" t="s">
        <v>140</v>
      </c>
      <c r="B20" s="34" t="s">
        <v>260</v>
      </c>
      <c r="C20" s="34"/>
      <c r="D20" s="34"/>
      <c r="E20" s="34"/>
      <c r="F20" s="34"/>
      <c r="G20" s="34"/>
      <c r="H20" s="34"/>
      <c r="I20" s="34"/>
      <c r="J20" s="34"/>
    </row>
    <row r="21" spans="1:14" x14ac:dyDescent="0.3">
      <c r="D21" s="37"/>
      <c r="E21" s="37"/>
      <c r="H21" s="2"/>
    </row>
    <row r="23" spans="1:14" x14ac:dyDescent="0.3">
      <c r="A23" s="34" t="s">
        <v>262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5" spans="1:14" x14ac:dyDescent="0.3">
      <c r="A25" s="34" t="s">
        <v>263</v>
      </c>
      <c r="B25" s="34"/>
      <c r="D25" t="s">
        <v>264</v>
      </c>
    </row>
    <row r="26" spans="1:14" x14ac:dyDescent="0.3">
      <c r="D26" t="s">
        <v>265</v>
      </c>
    </row>
    <row r="27" spans="1:14" x14ac:dyDescent="0.3">
      <c r="D27" t="s">
        <v>266</v>
      </c>
    </row>
    <row r="30" spans="1:14" x14ac:dyDescent="0.3">
      <c r="A30" s="34" t="s">
        <v>267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2" spans="1:14" x14ac:dyDescent="0.3">
      <c r="A32" t="s">
        <v>1</v>
      </c>
    </row>
    <row r="34" spans="1:22" x14ac:dyDescent="0.3">
      <c r="A34" s="37" t="s">
        <v>268</v>
      </c>
      <c r="B34" s="37"/>
      <c r="C34" s="37"/>
      <c r="D34" s="37"/>
      <c r="E34" s="37"/>
      <c r="F34" s="37"/>
      <c r="G34" s="37"/>
      <c r="H34" s="37"/>
      <c r="I34" s="37"/>
    </row>
    <row r="36" spans="1:22" x14ac:dyDescent="0.3">
      <c r="B36" s="27" t="s">
        <v>269</v>
      </c>
      <c r="C36" s="19">
        <v>45</v>
      </c>
      <c r="D36" s="19">
        <v>47</v>
      </c>
      <c r="E36" s="19">
        <v>48</v>
      </c>
      <c r="F36" s="19">
        <v>50</v>
      </c>
      <c r="G36" s="19">
        <v>52</v>
      </c>
      <c r="H36" s="19">
        <v>53</v>
      </c>
      <c r="I36" s="19">
        <v>55</v>
      </c>
      <c r="J36" s="19">
        <v>56</v>
      </c>
      <c r="K36" s="19">
        <v>58</v>
      </c>
      <c r="L36" s="19">
        <v>60</v>
      </c>
      <c r="M36" s="19">
        <v>62</v>
      </c>
      <c r="N36" s="19">
        <v>64</v>
      </c>
      <c r="O36" s="19">
        <v>65</v>
      </c>
      <c r="P36" s="19">
        <v>67</v>
      </c>
      <c r="Q36" s="19">
        <v>69</v>
      </c>
      <c r="R36" s="19">
        <v>70</v>
      </c>
      <c r="S36" s="19">
        <v>72</v>
      </c>
      <c r="T36" s="19">
        <v>74</v>
      </c>
      <c r="U36" s="19">
        <v>76</v>
      </c>
      <c r="V36" s="19">
        <v>77</v>
      </c>
    </row>
    <row r="37" spans="1:22" x14ac:dyDescent="0.3">
      <c r="B37" s="27" t="s">
        <v>270</v>
      </c>
      <c r="C37" s="19">
        <v>52</v>
      </c>
      <c r="D37" s="19">
        <v>54</v>
      </c>
      <c r="E37" s="19">
        <v>55</v>
      </c>
      <c r="F37" s="19">
        <v>57</v>
      </c>
      <c r="G37" s="19">
        <v>59</v>
      </c>
      <c r="H37" s="19">
        <v>60</v>
      </c>
      <c r="I37" s="19">
        <v>61</v>
      </c>
      <c r="J37" s="19">
        <v>62</v>
      </c>
      <c r="K37" s="19">
        <v>64</v>
      </c>
      <c r="L37" s="19">
        <v>66</v>
      </c>
      <c r="M37" s="19">
        <v>67</v>
      </c>
      <c r="N37" s="19">
        <v>69</v>
      </c>
      <c r="O37" s="19">
        <v>71</v>
      </c>
      <c r="P37" s="19">
        <v>73</v>
      </c>
      <c r="Q37" s="19">
        <v>74</v>
      </c>
      <c r="R37" s="19">
        <v>76</v>
      </c>
      <c r="S37" s="19">
        <v>78</v>
      </c>
      <c r="T37" s="19">
        <v>80</v>
      </c>
      <c r="U37" s="19">
        <v>82</v>
      </c>
      <c r="V37" s="19">
        <v>83</v>
      </c>
    </row>
    <row r="39" spans="1:22" x14ac:dyDescent="0.3">
      <c r="A39" t="s">
        <v>17</v>
      </c>
    </row>
    <row r="41" spans="1:22" x14ac:dyDescent="0.3">
      <c r="A41" s="34" t="s">
        <v>271</v>
      </c>
      <c r="B41" s="34"/>
      <c r="C41" s="34"/>
      <c r="D41" s="34"/>
      <c r="E41" s="34"/>
      <c r="F41" s="34"/>
      <c r="G41" s="34"/>
    </row>
    <row r="42" spans="1:22" ht="15" thickBot="1" x14ac:dyDescent="0.35"/>
    <row r="43" spans="1:22" x14ac:dyDescent="0.3">
      <c r="B43" s="26"/>
      <c r="C43" s="26" t="s">
        <v>269</v>
      </c>
      <c r="D43" s="26" t="s">
        <v>270</v>
      </c>
      <c r="F43" s="26"/>
      <c r="G43" s="26" t="s">
        <v>269</v>
      </c>
      <c r="H43" s="26" t="s">
        <v>270</v>
      </c>
    </row>
    <row r="44" spans="1:22" x14ac:dyDescent="0.3">
      <c r="B44" t="s">
        <v>269</v>
      </c>
      <c r="C44">
        <f>VARP(' Correlation and Covariance'!$C$36:$V$36)</f>
        <v>96.8</v>
      </c>
      <c r="F44" t="s">
        <v>269</v>
      </c>
      <c r="G44">
        <v>1</v>
      </c>
    </row>
    <row r="45" spans="1:22" ht="15" thickBot="1" x14ac:dyDescent="0.35">
      <c r="B45" s="25" t="s">
        <v>270</v>
      </c>
      <c r="C45" s="25">
        <v>92.65</v>
      </c>
      <c r="D45" s="25">
        <f>VARP(' Correlation and Covariance'!$C$37:$V$37)</f>
        <v>88.927499999999995</v>
      </c>
      <c r="F45" s="25" t="s">
        <v>270</v>
      </c>
      <c r="G45" s="29">
        <v>0.99859572699637911</v>
      </c>
      <c r="H45" s="25">
        <v>1</v>
      </c>
    </row>
    <row r="47" spans="1:22" x14ac:dyDescent="0.3">
      <c r="A47" t="s">
        <v>273</v>
      </c>
      <c r="B47" s="34" t="s">
        <v>272</v>
      </c>
      <c r="C47" s="34"/>
      <c r="D47" s="34"/>
      <c r="E47" s="34"/>
      <c r="F47" s="34"/>
      <c r="G47" s="34"/>
    </row>
    <row r="49" spans="1:32" x14ac:dyDescent="0.3">
      <c r="A49" s="34" t="s">
        <v>277</v>
      </c>
      <c r="B49" s="34"/>
      <c r="C49" t="s">
        <v>274</v>
      </c>
    </row>
    <row r="50" spans="1:32" x14ac:dyDescent="0.3">
      <c r="C50" t="s">
        <v>275</v>
      </c>
    </row>
    <row r="51" spans="1:32" x14ac:dyDescent="0.3">
      <c r="C51" t="s">
        <v>276</v>
      </c>
    </row>
    <row r="53" spans="1:32" x14ac:dyDescent="0.3">
      <c r="A53" s="34" t="s">
        <v>278</v>
      </c>
      <c r="B53" s="34"/>
      <c r="C53" s="34"/>
      <c r="D53" s="34"/>
      <c r="E53" s="34"/>
      <c r="F53" s="34"/>
      <c r="G53" s="34"/>
      <c r="H53" s="34"/>
      <c r="I53" s="34"/>
    </row>
    <row r="55" spans="1:32" x14ac:dyDescent="0.3">
      <c r="A55" t="s">
        <v>1</v>
      </c>
    </row>
    <row r="57" spans="1:32" x14ac:dyDescent="0.3">
      <c r="A57" s="37" t="s">
        <v>279</v>
      </c>
      <c r="B57" s="37"/>
      <c r="C57" s="37"/>
      <c r="D57" s="37"/>
      <c r="E57" s="37"/>
      <c r="F57" s="37"/>
      <c r="G57" s="37"/>
    </row>
    <row r="59" spans="1:32" x14ac:dyDescent="0.3">
      <c r="A59" s="44" t="s">
        <v>280</v>
      </c>
      <c r="B59" s="44"/>
      <c r="C59" s="19">
        <v>10</v>
      </c>
      <c r="D59" s="19">
        <v>12</v>
      </c>
      <c r="E59" s="19">
        <v>15</v>
      </c>
      <c r="F59" s="19">
        <v>18</v>
      </c>
      <c r="G59" s="19">
        <v>20</v>
      </c>
      <c r="H59" s="19">
        <v>22</v>
      </c>
      <c r="I59" s="19">
        <v>25</v>
      </c>
      <c r="J59" s="19">
        <v>28</v>
      </c>
      <c r="K59" s="19">
        <v>30</v>
      </c>
      <c r="L59" s="19">
        <v>32</v>
      </c>
      <c r="M59" s="19">
        <v>35</v>
      </c>
      <c r="N59" s="19">
        <v>38</v>
      </c>
      <c r="O59" s="19">
        <v>40</v>
      </c>
      <c r="P59" s="19">
        <v>42</v>
      </c>
      <c r="Q59" s="19">
        <v>45</v>
      </c>
      <c r="R59" s="19">
        <v>60</v>
      </c>
      <c r="S59" s="19">
        <v>65</v>
      </c>
      <c r="T59" s="19">
        <v>70</v>
      </c>
      <c r="U59" s="19">
        <v>75</v>
      </c>
      <c r="V59" s="19">
        <v>80</v>
      </c>
      <c r="W59" s="19">
        <v>82</v>
      </c>
      <c r="X59" s="19">
        <v>85</v>
      </c>
      <c r="Y59" s="19">
        <v>88</v>
      </c>
      <c r="Z59" s="19">
        <v>90</v>
      </c>
      <c r="AA59" s="19">
        <v>92</v>
      </c>
      <c r="AB59" s="19">
        <v>93</v>
      </c>
      <c r="AC59" s="19">
        <v>95</v>
      </c>
      <c r="AD59" s="19">
        <v>96</v>
      </c>
      <c r="AE59" s="19">
        <v>97</v>
      </c>
      <c r="AF59" s="19">
        <v>98</v>
      </c>
    </row>
    <row r="60" spans="1:32" x14ac:dyDescent="0.3">
      <c r="A60" s="44" t="s">
        <v>281</v>
      </c>
      <c r="B60" s="44"/>
      <c r="C60" s="19">
        <v>48</v>
      </c>
      <c r="D60" s="19">
        <v>50</v>
      </c>
      <c r="E60" s="19">
        <v>52</v>
      </c>
      <c r="F60" s="19">
        <v>55</v>
      </c>
      <c r="G60" s="19">
        <v>58</v>
      </c>
      <c r="H60" s="19">
        <v>60</v>
      </c>
      <c r="I60" s="19">
        <v>62</v>
      </c>
      <c r="J60" s="19">
        <v>65</v>
      </c>
      <c r="K60" s="19">
        <v>68</v>
      </c>
      <c r="L60" s="19">
        <v>70</v>
      </c>
      <c r="M60" s="19">
        <v>72</v>
      </c>
      <c r="N60" s="19">
        <v>75</v>
      </c>
      <c r="O60" s="19">
        <v>78</v>
      </c>
      <c r="P60" s="19">
        <v>80</v>
      </c>
      <c r="Q60" s="19">
        <v>82</v>
      </c>
      <c r="R60" s="19">
        <v>99</v>
      </c>
      <c r="S60" s="19">
        <v>100</v>
      </c>
      <c r="T60" s="19">
        <v>102</v>
      </c>
      <c r="U60" s="19">
        <v>105</v>
      </c>
      <c r="V60" s="19">
        <v>106</v>
      </c>
      <c r="W60" s="19">
        <v>107</v>
      </c>
      <c r="X60" s="19">
        <v>108</v>
      </c>
      <c r="Y60" s="19">
        <v>110</v>
      </c>
      <c r="Z60" s="19">
        <v>112</v>
      </c>
      <c r="AA60" s="19">
        <v>114</v>
      </c>
      <c r="AB60" s="19">
        <v>115</v>
      </c>
      <c r="AC60" s="19">
        <v>116</v>
      </c>
      <c r="AD60" s="19">
        <v>118</v>
      </c>
      <c r="AE60" s="19">
        <v>120</v>
      </c>
      <c r="AF60" s="19">
        <v>122</v>
      </c>
    </row>
    <row r="62" spans="1:32" x14ac:dyDescent="0.3">
      <c r="A62" t="s">
        <v>17</v>
      </c>
    </row>
    <row r="64" spans="1:32" x14ac:dyDescent="0.3">
      <c r="A64" s="34" t="s">
        <v>282</v>
      </c>
      <c r="B64" s="34"/>
      <c r="C64" s="34"/>
      <c r="D64" s="34"/>
      <c r="E64" s="34"/>
      <c r="F64" s="34"/>
      <c r="G64" s="34"/>
    </row>
    <row r="65" spans="1:6" ht="15" thickBot="1" x14ac:dyDescent="0.35"/>
    <row r="66" spans="1:6" x14ac:dyDescent="0.3">
      <c r="B66" s="26"/>
      <c r="C66" s="26" t="s">
        <v>280</v>
      </c>
      <c r="D66" s="26" t="s">
        <v>281</v>
      </c>
    </row>
    <row r="67" spans="1:6" x14ac:dyDescent="0.3">
      <c r="B67" t="s">
        <v>280</v>
      </c>
      <c r="C67">
        <v>1</v>
      </c>
    </row>
    <row r="68" spans="1:6" ht="15" thickBot="1" x14ac:dyDescent="0.35">
      <c r="B68" s="25" t="s">
        <v>281</v>
      </c>
      <c r="C68" s="29">
        <v>0.9936097898886781</v>
      </c>
      <c r="D68" s="25">
        <v>1</v>
      </c>
    </row>
    <row r="70" spans="1:6" x14ac:dyDescent="0.3">
      <c r="A70" t="s">
        <v>208</v>
      </c>
      <c r="B70" s="37" t="s">
        <v>283</v>
      </c>
      <c r="C70" s="37"/>
      <c r="D70" s="37"/>
      <c r="E70" s="37"/>
      <c r="F70" s="37"/>
    </row>
    <row r="72" spans="1:6" x14ac:dyDescent="0.3">
      <c r="A72" s="34" t="s">
        <v>277</v>
      </c>
      <c r="B72" s="34"/>
      <c r="C72" t="s">
        <v>284</v>
      </c>
    </row>
    <row r="73" spans="1:6" x14ac:dyDescent="0.3">
      <c r="C73" t="s">
        <v>285</v>
      </c>
    </row>
    <row r="74" spans="1:6" x14ac:dyDescent="0.3">
      <c r="C74" t="s">
        <v>286</v>
      </c>
    </row>
    <row r="75" spans="1:6" x14ac:dyDescent="0.3">
      <c r="C75" t="s">
        <v>287</v>
      </c>
    </row>
  </sheetData>
  <mergeCells count="26">
    <mergeCell ref="B70:F70"/>
    <mergeCell ref="A72:B72"/>
    <mergeCell ref="A53:I53"/>
    <mergeCell ref="A57:G57"/>
    <mergeCell ref="A59:B59"/>
    <mergeCell ref="A60:B60"/>
    <mergeCell ref="A64:G64"/>
    <mergeCell ref="B47:G47"/>
    <mergeCell ref="A49:B49"/>
    <mergeCell ref="A30:N30"/>
    <mergeCell ref="A34:I34"/>
    <mergeCell ref="A41:G41"/>
    <mergeCell ref="A14:I14"/>
    <mergeCell ref="A23:L23"/>
    <mergeCell ref="A25:B25"/>
    <mergeCell ref="D19:E19"/>
    <mergeCell ref="D21:E21"/>
    <mergeCell ref="D15:E15"/>
    <mergeCell ref="B20:J20"/>
    <mergeCell ref="A2:Q2"/>
    <mergeCell ref="A6:O6"/>
    <mergeCell ref="A13:C13"/>
    <mergeCell ref="D13:E13"/>
    <mergeCell ref="A1:B1"/>
    <mergeCell ref="B8:D8"/>
    <mergeCell ref="B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9A0A-6023-42CC-B2B8-C9464707AA98}">
  <dimension ref="A1:S57"/>
  <sheetViews>
    <sheetView topLeftCell="A21" workbookViewId="0">
      <selection activeCell="A38" sqref="A38:P38"/>
    </sheetView>
  </sheetViews>
  <sheetFormatPr defaultRowHeight="14.4" x14ac:dyDescent="0.3"/>
  <sheetData>
    <row r="1" spans="1:13" x14ac:dyDescent="0.3">
      <c r="A1" s="45" t="s">
        <v>288</v>
      </c>
      <c r="B1" s="45"/>
      <c r="C1" s="45"/>
    </row>
    <row r="3" spans="1:13" x14ac:dyDescent="0.3">
      <c r="A3" s="42" t="s">
        <v>289</v>
      </c>
      <c r="B3" s="42"/>
      <c r="C3" s="42"/>
      <c r="D3" s="42"/>
      <c r="E3" s="42"/>
      <c r="F3" s="42"/>
      <c r="G3" s="42"/>
      <c r="H3" s="42"/>
      <c r="I3" s="42"/>
      <c r="J3" s="42"/>
    </row>
    <row r="5" spans="1:13" x14ac:dyDescent="0.3">
      <c r="A5" t="s">
        <v>290</v>
      </c>
    </row>
    <row r="7" spans="1:13" x14ac:dyDescent="0.3">
      <c r="A7" t="s">
        <v>291</v>
      </c>
      <c r="B7">
        <v>100</v>
      </c>
    </row>
    <row r="8" spans="1:13" x14ac:dyDescent="0.3">
      <c r="A8" t="s">
        <v>292</v>
      </c>
      <c r="B8">
        <f>1/6</f>
        <v>0.16666666666666666</v>
      </c>
    </row>
    <row r="9" spans="1:13" x14ac:dyDescent="0.3">
      <c r="A9" t="s">
        <v>293</v>
      </c>
      <c r="B9">
        <v>5</v>
      </c>
    </row>
    <row r="11" spans="1:13" x14ac:dyDescent="0.3">
      <c r="A11" s="2" t="s">
        <v>294</v>
      </c>
      <c r="B11" s="2">
        <f>_xlfn.BINOM.DIST(5,100,B8,0)</f>
        <v>2.9090311057530159E-4</v>
      </c>
      <c r="D11" s="2" t="s">
        <v>295</v>
      </c>
      <c r="E11" s="2"/>
      <c r="F11" s="2"/>
      <c r="G11" s="2"/>
      <c r="H11" s="2"/>
      <c r="I11" s="2"/>
      <c r="J11" s="2"/>
      <c r="K11" s="2"/>
      <c r="L11" s="2"/>
      <c r="M11" s="2"/>
    </row>
    <row r="14" spans="1:13" x14ac:dyDescent="0.3">
      <c r="A14" s="42" t="s">
        <v>296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6" spans="1:13" x14ac:dyDescent="0.3">
      <c r="A16" s="37" t="s">
        <v>297</v>
      </c>
      <c r="B16" s="37"/>
      <c r="C16" s="37"/>
      <c r="D16" s="37"/>
      <c r="E16" s="37"/>
      <c r="F16" s="37"/>
      <c r="G16" s="37"/>
    </row>
    <row r="18" spans="1:19" x14ac:dyDescent="0.3">
      <c r="A18" t="s">
        <v>298</v>
      </c>
      <c r="B18">
        <v>5</v>
      </c>
    </row>
    <row r="19" spans="1:19" x14ac:dyDescent="0.3">
      <c r="A19" t="s">
        <v>291</v>
      </c>
      <c r="B19">
        <v>52</v>
      </c>
    </row>
    <row r="20" spans="1:19" x14ac:dyDescent="0.3">
      <c r="A20" t="s">
        <v>299</v>
      </c>
      <c r="B20">
        <v>13</v>
      </c>
    </row>
    <row r="21" spans="1:19" x14ac:dyDescent="0.3">
      <c r="A21" s="2" t="s">
        <v>293</v>
      </c>
      <c r="B21">
        <v>2</v>
      </c>
    </row>
    <row r="23" spans="1:19" x14ac:dyDescent="0.3">
      <c r="A23" s="2" t="s">
        <v>294</v>
      </c>
      <c r="B23" s="2">
        <f>_xlfn.HYPGEOM.DIST(2,5,13,52,0)</f>
        <v>0.27427971188475386</v>
      </c>
      <c r="D23" s="34" t="s">
        <v>300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6" spans="1:19" x14ac:dyDescent="0.3">
      <c r="A26" s="42" t="s">
        <v>301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</row>
    <row r="28" spans="1:19" x14ac:dyDescent="0.3">
      <c r="A28" s="37" t="s">
        <v>302</v>
      </c>
      <c r="B28" s="37"/>
      <c r="C28" s="37"/>
      <c r="D28" s="37"/>
      <c r="E28" s="37"/>
      <c r="F28" s="37"/>
      <c r="G28" s="37"/>
      <c r="H28" s="37"/>
    </row>
    <row r="30" spans="1:19" x14ac:dyDescent="0.3">
      <c r="A30" t="s">
        <v>291</v>
      </c>
      <c r="B30">
        <v>10</v>
      </c>
    </row>
    <row r="31" spans="1:19" x14ac:dyDescent="0.3">
      <c r="A31" t="s">
        <v>303</v>
      </c>
      <c r="B31">
        <f>1/4</f>
        <v>0.25</v>
      </c>
    </row>
    <row r="32" spans="1:19" x14ac:dyDescent="0.3">
      <c r="A32" t="s">
        <v>304</v>
      </c>
      <c r="B32" t="s">
        <v>305</v>
      </c>
    </row>
    <row r="35" spans="1:17" x14ac:dyDescent="0.3">
      <c r="A35" s="2" t="s">
        <v>294</v>
      </c>
      <c r="B35" s="2">
        <f>1-_xlfn.BINOM.DIST(7,10,0.25,0)</f>
        <v>0.99691009521484375</v>
      </c>
      <c r="D35" s="34" t="s">
        <v>306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8" spans="1:17" x14ac:dyDescent="0.3">
      <c r="A38" s="42" t="s">
        <v>307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</row>
    <row r="40" spans="1:17" x14ac:dyDescent="0.3">
      <c r="A40" s="37" t="s">
        <v>308</v>
      </c>
      <c r="B40" s="37"/>
      <c r="C40" s="37"/>
      <c r="D40" s="37"/>
      <c r="E40" s="37"/>
      <c r="F40" s="37"/>
      <c r="G40" s="37"/>
    </row>
    <row r="42" spans="1:17" x14ac:dyDescent="0.3">
      <c r="A42" t="s">
        <v>291</v>
      </c>
      <c r="B42">
        <v>60</v>
      </c>
    </row>
    <row r="43" spans="1:17" x14ac:dyDescent="0.3">
      <c r="A43" t="s">
        <v>299</v>
      </c>
      <c r="B43">
        <v>20</v>
      </c>
    </row>
    <row r="44" spans="1:17" x14ac:dyDescent="0.3">
      <c r="A44" t="s">
        <v>309</v>
      </c>
      <c r="B44">
        <v>3</v>
      </c>
    </row>
    <row r="45" spans="1:17" x14ac:dyDescent="0.3">
      <c r="A45" t="s">
        <v>298</v>
      </c>
      <c r="B45">
        <v>3</v>
      </c>
    </row>
    <row r="47" spans="1:17" x14ac:dyDescent="0.3">
      <c r="A47" s="2" t="s">
        <v>294</v>
      </c>
      <c r="B47" s="2">
        <f>_xlfn.HYPGEOM.DIST(3,3,20,60,0)</f>
        <v>3.3313851548801864E-2</v>
      </c>
      <c r="D47" s="34" t="s">
        <v>310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50" spans="1:16" x14ac:dyDescent="0.3">
      <c r="A50" s="42" t="s">
        <v>311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</row>
    <row r="52" spans="1:16" x14ac:dyDescent="0.3">
      <c r="A52" s="37" t="s">
        <v>312</v>
      </c>
      <c r="B52" s="37"/>
      <c r="C52" s="37"/>
      <c r="D52" s="37"/>
      <c r="E52" s="37"/>
      <c r="F52" s="37"/>
      <c r="G52" s="37"/>
    </row>
    <row r="54" spans="1:16" x14ac:dyDescent="0.3">
      <c r="A54" t="s">
        <v>298</v>
      </c>
      <c r="B54">
        <v>10</v>
      </c>
    </row>
    <row r="55" spans="1:16" x14ac:dyDescent="0.3">
      <c r="A55" t="s">
        <v>313</v>
      </c>
      <c r="B55">
        <v>0.3</v>
      </c>
    </row>
    <row r="57" spans="1:16" x14ac:dyDescent="0.3">
      <c r="A57" s="2" t="s">
        <v>294</v>
      </c>
      <c r="B57" s="2">
        <f>_xlfn.BINOM.DIST(3,10,0.3,0)</f>
        <v>0.26682793200000005</v>
      </c>
      <c r="D57" s="34" t="s">
        <v>314</v>
      </c>
      <c r="E57" s="34"/>
      <c r="F57" s="34"/>
      <c r="G57" s="34"/>
      <c r="H57" s="34"/>
      <c r="I57" s="34"/>
      <c r="J57" s="34"/>
      <c r="K57" s="34"/>
      <c r="L57" s="34"/>
    </row>
  </sheetData>
  <mergeCells count="14">
    <mergeCell ref="A1:C1"/>
    <mergeCell ref="A3:J3"/>
    <mergeCell ref="A14:M14"/>
    <mergeCell ref="A16:G16"/>
    <mergeCell ref="D23:P23"/>
    <mergeCell ref="A26:S26"/>
    <mergeCell ref="A28:H28"/>
    <mergeCell ref="D35:Q35"/>
    <mergeCell ref="D57:L57"/>
    <mergeCell ref="A38:P38"/>
    <mergeCell ref="A50:P50"/>
    <mergeCell ref="A40:G40"/>
    <mergeCell ref="D47:N47"/>
    <mergeCell ref="A52:G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28F8-38D5-464B-8296-7513F3B3E1E5}">
  <dimension ref="A1:V41"/>
  <sheetViews>
    <sheetView workbookViewId="0">
      <selection activeCell="H46" sqref="H46"/>
    </sheetView>
  </sheetViews>
  <sheetFormatPr defaultRowHeight="14.4" x14ac:dyDescent="0.3"/>
  <cols>
    <col min="1" max="1" width="8.88671875" customWidth="1"/>
    <col min="2" max="2" width="10.44140625" customWidth="1"/>
  </cols>
  <sheetData>
    <row r="1" spans="1:19" x14ac:dyDescent="0.3">
      <c r="A1" s="35" t="s">
        <v>319</v>
      </c>
      <c r="B1" s="35"/>
      <c r="C1" s="35"/>
    </row>
    <row r="3" spans="1:19" x14ac:dyDescent="0.3">
      <c r="A3" s="42" t="s">
        <v>320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5" spans="1:19" x14ac:dyDescent="0.3">
      <c r="A5" t="s">
        <v>321</v>
      </c>
      <c r="B5">
        <v>165</v>
      </c>
    </row>
    <row r="6" spans="1:19" x14ac:dyDescent="0.3">
      <c r="A6" t="s">
        <v>322</v>
      </c>
      <c r="B6">
        <v>10</v>
      </c>
    </row>
    <row r="7" spans="1:19" x14ac:dyDescent="0.3">
      <c r="A7" t="s">
        <v>326</v>
      </c>
      <c r="B7">
        <v>180</v>
      </c>
    </row>
    <row r="9" spans="1:19" x14ac:dyDescent="0.3">
      <c r="A9" s="2" t="s">
        <v>323</v>
      </c>
      <c r="B9" s="3">
        <f>1-_xlfn.NORM.DIST(180,165,10,1)</f>
        <v>6.6807201268858085E-2</v>
      </c>
      <c r="D9" s="34" t="s">
        <v>324</v>
      </c>
      <c r="E9" s="34"/>
      <c r="F9" s="34"/>
      <c r="G9" s="34"/>
      <c r="H9" s="34"/>
      <c r="I9" s="34"/>
      <c r="J9" s="34"/>
      <c r="K9" s="34"/>
      <c r="L9" s="34"/>
      <c r="M9" s="34"/>
    </row>
    <row r="12" spans="1:19" x14ac:dyDescent="0.3">
      <c r="A12" s="42" t="s">
        <v>325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</row>
    <row r="14" spans="1:19" x14ac:dyDescent="0.3">
      <c r="A14" t="s">
        <v>321</v>
      </c>
      <c r="B14">
        <v>5</v>
      </c>
      <c r="C14" t="s">
        <v>336</v>
      </c>
      <c r="D14">
        <f>1/5</f>
        <v>0.2</v>
      </c>
    </row>
    <row r="15" spans="1:19" x14ac:dyDescent="0.3">
      <c r="A15" t="s">
        <v>293</v>
      </c>
      <c r="B15">
        <v>3</v>
      </c>
    </row>
    <row r="17" spans="1:22" x14ac:dyDescent="0.3">
      <c r="A17" s="2" t="s">
        <v>323</v>
      </c>
      <c r="B17" s="3">
        <f>_xlfn.EXPON.DIST(3,0.2,1)</f>
        <v>0.45118836390597356</v>
      </c>
      <c r="D17" s="34" t="s">
        <v>327</v>
      </c>
      <c r="E17" s="34"/>
      <c r="F17" s="34"/>
      <c r="G17" s="34"/>
      <c r="H17" s="34"/>
      <c r="I17" s="34"/>
      <c r="J17" s="34"/>
      <c r="K17" s="34"/>
      <c r="L17" s="34"/>
    </row>
    <row r="20" spans="1:22" x14ac:dyDescent="0.3">
      <c r="A20" s="42" t="s">
        <v>328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2" spans="1:22" x14ac:dyDescent="0.3">
      <c r="A22" t="s">
        <v>321</v>
      </c>
      <c r="B22">
        <v>1000</v>
      </c>
    </row>
    <row r="23" spans="1:22" x14ac:dyDescent="0.3">
      <c r="A23" t="s">
        <v>322</v>
      </c>
      <c r="B23">
        <v>100</v>
      </c>
    </row>
    <row r="24" spans="1:22" x14ac:dyDescent="0.3">
      <c r="A24" t="s">
        <v>293</v>
      </c>
      <c r="B24" t="s">
        <v>329</v>
      </c>
    </row>
    <row r="26" spans="1:22" x14ac:dyDescent="0.3">
      <c r="A26" s="2" t="s">
        <v>323</v>
      </c>
      <c r="B26" s="3">
        <f>_xlfn.NORM.DIST(1100,1000,100,1)-_xlfn.NORM.DIST(900,1000,100,1)</f>
        <v>0.68268949213708607</v>
      </c>
      <c r="D26" s="2" t="s">
        <v>330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9" spans="1:22" x14ac:dyDescent="0.3">
      <c r="A29" s="42" t="s">
        <v>331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</row>
    <row r="31" spans="1:22" x14ac:dyDescent="0.3">
      <c r="A31" t="s">
        <v>293</v>
      </c>
      <c r="B31" t="s">
        <v>332</v>
      </c>
    </row>
    <row r="33" spans="1:16" x14ac:dyDescent="0.3">
      <c r="A33" s="2" t="s">
        <v>323</v>
      </c>
      <c r="B33" s="3">
        <f>(170-150)/(200-100)</f>
        <v>0.2</v>
      </c>
      <c r="D33" s="34" t="s">
        <v>333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6" spans="1:16" x14ac:dyDescent="0.3">
      <c r="A36" s="42" t="s">
        <v>334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</row>
    <row r="38" spans="1:16" x14ac:dyDescent="0.3">
      <c r="A38" t="s">
        <v>321</v>
      </c>
      <c r="B38">
        <v>20</v>
      </c>
      <c r="C38" t="s">
        <v>336</v>
      </c>
      <c r="D38">
        <f>1/20</f>
        <v>0.05</v>
      </c>
    </row>
    <row r="39" spans="1:16" x14ac:dyDescent="0.3">
      <c r="A39" t="s">
        <v>335</v>
      </c>
      <c r="B39" t="s">
        <v>305</v>
      </c>
    </row>
    <row r="41" spans="1:16" x14ac:dyDescent="0.3">
      <c r="A41" s="2" t="s">
        <v>323</v>
      </c>
      <c r="B41" s="3">
        <f>_xlfn.EXPON.DIST(15,0.05,1)</f>
        <v>0.52763344725898531</v>
      </c>
      <c r="D41" s="34" t="s">
        <v>337</v>
      </c>
      <c r="E41" s="34"/>
      <c r="F41" s="34"/>
      <c r="G41" s="34"/>
      <c r="H41" s="34"/>
      <c r="I41" s="34"/>
      <c r="J41" s="34"/>
      <c r="K41" s="34"/>
      <c r="L41" s="34"/>
      <c r="M41" s="34"/>
    </row>
  </sheetData>
  <mergeCells count="10">
    <mergeCell ref="A1:C1"/>
    <mergeCell ref="A3:S3"/>
    <mergeCell ref="D9:M9"/>
    <mergeCell ref="D17:L17"/>
    <mergeCell ref="A20:V20"/>
    <mergeCell ref="A29:S29"/>
    <mergeCell ref="D33:N33"/>
    <mergeCell ref="A36:P36"/>
    <mergeCell ref="D41:M41"/>
    <mergeCell ref="A12:P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59FA-3B56-4696-9A9F-64E892A827A2}">
  <dimension ref="A1:T27"/>
  <sheetViews>
    <sheetView workbookViewId="0">
      <selection activeCell="A20" sqref="A20:J20"/>
    </sheetView>
  </sheetViews>
  <sheetFormatPr defaultRowHeight="14.4" x14ac:dyDescent="0.3"/>
  <cols>
    <col min="2" max="2" width="9.21875" customWidth="1"/>
    <col min="4" max="4" width="10.77734375" bestFit="1" customWidth="1"/>
  </cols>
  <sheetData>
    <row r="1" spans="1:20" x14ac:dyDescent="0.3">
      <c r="A1" s="35" t="s">
        <v>338</v>
      </c>
      <c r="B1" s="35"/>
    </row>
    <row r="3" spans="1:20" x14ac:dyDescent="0.3">
      <c r="A3" s="46" t="s">
        <v>339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5" spans="1:20" x14ac:dyDescent="0.3">
      <c r="A5" t="s">
        <v>321</v>
      </c>
      <c r="B5">
        <v>2</v>
      </c>
      <c r="D5" s="2" t="s">
        <v>340</v>
      </c>
      <c r="E5" t="s">
        <v>341</v>
      </c>
    </row>
    <row r="6" spans="1:20" x14ac:dyDescent="0.3">
      <c r="A6" t="s">
        <v>293</v>
      </c>
      <c r="B6">
        <v>3</v>
      </c>
      <c r="E6" t="s">
        <v>342</v>
      </c>
    </row>
    <row r="8" spans="1:20" x14ac:dyDescent="0.3">
      <c r="A8" s="2" t="s">
        <v>323</v>
      </c>
      <c r="B8" s="3">
        <f>_xlfn.POISSON.DIST(3,2,0)</f>
        <v>0.18044704431548364</v>
      </c>
      <c r="D8" s="34" t="s">
        <v>343</v>
      </c>
      <c r="E8" s="34"/>
      <c r="F8" s="34"/>
      <c r="G8" s="34"/>
      <c r="H8" s="34"/>
      <c r="I8" s="34"/>
      <c r="J8" s="34"/>
      <c r="K8" s="34"/>
      <c r="L8" s="34"/>
    </row>
    <row r="11" spans="1:20" x14ac:dyDescent="0.3">
      <c r="A11" s="46" t="s">
        <v>344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3" spans="1:20" x14ac:dyDescent="0.3">
      <c r="A13" t="s">
        <v>313</v>
      </c>
      <c r="B13">
        <v>0.3</v>
      </c>
      <c r="D13" s="2" t="s">
        <v>340</v>
      </c>
      <c r="E13" t="s">
        <v>345</v>
      </c>
    </row>
    <row r="14" spans="1:20" x14ac:dyDescent="0.3">
      <c r="A14" t="s">
        <v>298</v>
      </c>
      <c r="B14">
        <v>10</v>
      </c>
      <c r="E14" t="s">
        <v>346</v>
      </c>
    </row>
    <row r="15" spans="1:20" x14ac:dyDescent="0.3">
      <c r="A15" t="s">
        <v>293</v>
      </c>
      <c r="B15">
        <v>3</v>
      </c>
    </row>
    <row r="17" spans="1:12" x14ac:dyDescent="0.3">
      <c r="A17" s="2" t="s">
        <v>323</v>
      </c>
      <c r="B17" s="3">
        <f>_xlfn.BINOM.DIST(3,10,0.3,0)</f>
        <v>0.26682793200000005</v>
      </c>
      <c r="D17" s="34" t="s">
        <v>347</v>
      </c>
      <c r="E17" s="34"/>
      <c r="F17" s="34"/>
      <c r="G17" s="34"/>
      <c r="H17" s="34"/>
      <c r="I17" s="34"/>
      <c r="J17" s="34"/>
    </row>
    <row r="20" spans="1:12" x14ac:dyDescent="0.3">
      <c r="A20" s="46" t="s">
        <v>348</v>
      </c>
      <c r="B20" s="46"/>
      <c r="C20" s="46"/>
      <c r="D20" s="46"/>
      <c r="E20" s="46"/>
      <c r="F20" s="46"/>
      <c r="G20" s="46"/>
      <c r="H20" s="46"/>
      <c r="I20" s="46"/>
      <c r="J20" s="46"/>
    </row>
    <row r="22" spans="1:12" x14ac:dyDescent="0.3">
      <c r="A22" t="s">
        <v>291</v>
      </c>
      <c r="B22">
        <v>3</v>
      </c>
      <c r="D22" t="s">
        <v>340</v>
      </c>
      <c r="E22" t="s">
        <v>352</v>
      </c>
    </row>
    <row r="23" spans="1:12" x14ac:dyDescent="0.3">
      <c r="A23" s="23" t="s">
        <v>349</v>
      </c>
      <c r="B23" s="23" t="s">
        <v>350</v>
      </c>
      <c r="E23" t="s">
        <v>353</v>
      </c>
    </row>
    <row r="24" spans="1:12" x14ac:dyDescent="0.3">
      <c r="A24" t="s">
        <v>351</v>
      </c>
      <c r="B24">
        <f>1/6</f>
        <v>0.16666666666666666</v>
      </c>
    </row>
    <row r="26" spans="1:12" x14ac:dyDescent="0.3">
      <c r="A26" s="2" t="s">
        <v>323</v>
      </c>
      <c r="B26" s="3">
        <f>1-_xlfn.BINOM.DIST(0,3,0.167,0)</f>
        <v>0.42199046299999998</v>
      </c>
      <c r="D26" s="34" t="s">
        <v>354</v>
      </c>
      <c r="E26" s="34"/>
      <c r="F26" s="34"/>
      <c r="G26" s="34"/>
      <c r="H26" s="34"/>
      <c r="I26" s="34"/>
      <c r="J26" s="34"/>
      <c r="K26" s="34"/>
      <c r="L26" s="34"/>
    </row>
    <row r="27" spans="1:12" x14ac:dyDescent="0.3">
      <c r="B27" s="33"/>
    </row>
  </sheetData>
  <mergeCells count="7">
    <mergeCell ref="D26:L26"/>
    <mergeCell ref="A11:N11"/>
    <mergeCell ref="D17:J17"/>
    <mergeCell ref="A20:J20"/>
    <mergeCell ref="A1:B1"/>
    <mergeCell ref="A3:T3"/>
    <mergeCell ref="D8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A7C1-CB90-47DD-8AD7-21FA162F194A}">
  <dimension ref="A1:U19"/>
  <sheetViews>
    <sheetView workbookViewId="0">
      <selection activeCell="A13" sqref="A13:R13"/>
    </sheetView>
  </sheetViews>
  <sheetFormatPr defaultRowHeight="14.4" x14ac:dyDescent="0.3"/>
  <cols>
    <col min="4" max="4" width="10.77734375" bestFit="1" customWidth="1"/>
  </cols>
  <sheetData>
    <row r="1" spans="1:21" x14ac:dyDescent="0.3">
      <c r="A1" s="35" t="s">
        <v>355</v>
      </c>
      <c r="B1" s="35"/>
      <c r="C1" s="35"/>
    </row>
    <row r="3" spans="1:21" x14ac:dyDescent="0.3">
      <c r="A3" s="46" t="s">
        <v>356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</row>
    <row r="4" spans="1:2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21" x14ac:dyDescent="0.3">
      <c r="A5" t="s">
        <v>321</v>
      </c>
      <c r="B5">
        <v>150</v>
      </c>
      <c r="D5" s="2" t="s">
        <v>340</v>
      </c>
      <c r="E5" t="s">
        <v>359</v>
      </c>
    </row>
    <row r="6" spans="1:21" x14ac:dyDescent="0.3">
      <c r="A6" t="s">
        <v>322</v>
      </c>
      <c r="B6">
        <v>10</v>
      </c>
      <c r="E6" t="s">
        <v>360</v>
      </c>
    </row>
    <row r="7" spans="1:21" x14ac:dyDescent="0.3">
      <c r="A7" t="s">
        <v>357</v>
      </c>
      <c r="B7">
        <v>140</v>
      </c>
    </row>
    <row r="8" spans="1:21" x14ac:dyDescent="0.3">
      <c r="A8" t="s">
        <v>358</v>
      </c>
      <c r="B8">
        <v>160</v>
      </c>
    </row>
    <row r="10" spans="1:21" x14ac:dyDescent="0.3">
      <c r="A10" s="2" t="s">
        <v>323</v>
      </c>
      <c r="B10" s="3">
        <f>_xlfn.NORM.DIST(160,150,10,1)-_xlfn.NORM.DIST(140,150,10,1)</f>
        <v>0.68268949213708607</v>
      </c>
      <c r="D10" s="34" t="s">
        <v>361</v>
      </c>
      <c r="E10" s="34"/>
      <c r="F10" s="34"/>
      <c r="G10" s="34"/>
      <c r="H10" s="34"/>
      <c r="I10" s="34"/>
      <c r="J10" s="34"/>
      <c r="K10" s="34"/>
      <c r="L10" s="34"/>
      <c r="M10" s="34"/>
    </row>
    <row r="13" spans="1:21" x14ac:dyDescent="0.3">
      <c r="A13" s="46" t="s">
        <v>362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</row>
    <row r="14" spans="1:2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1:21" x14ac:dyDescent="0.3">
      <c r="A15" t="s">
        <v>321</v>
      </c>
      <c r="B15">
        <v>1000</v>
      </c>
      <c r="D15" s="2" t="s">
        <v>340</v>
      </c>
      <c r="E15" t="s">
        <v>364</v>
      </c>
    </row>
    <row r="16" spans="1:21" x14ac:dyDescent="0.3">
      <c r="A16" t="s">
        <v>336</v>
      </c>
      <c r="B16">
        <f>1/1000</f>
        <v>1E-3</v>
      </c>
      <c r="E16" t="s">
        <v>365</v>
      </c>
    </row>
    <row r="17" spans="1:12" x14ac:dyDescent="0.3">
      <c r="A17" t="s">
        <v>363</v>
      </c>
      <c r="B17" t="s">
        <v>305</v>
      </c>
    </row>
    <row r="19" spans="1:12" x14ac:dyDescent="0.3">
      <c r="A19" s="2" t="s">
        <v>323</v>
      </c>
      <c r="B19" s="3">
        <f>1-EXPONDIST(900,0.001,1)</f>
        <v>0.40656965974059911</v>
      </c>
      <c r="D19" s="34" t="s">
        <v>366</v>
      </c>
      <c r="E19" s="34"/>
      <c r="F19" s="34"/>
      <c r="G19" s="34"/>
      <c r="H19" s="34"/>
      <c r="I19" s="34"/>
      <c r="J19" s="34"/>
      <c r="K19" s="34"/>
      <c r="L19" s="34"/>
    </row>
  </sheetData>
  <mergeCells count="5">
    <mergeCell ref="D10:M10"/>
    <mergeCell ref="A13:R13"/>
    <mergeCell ref="D19:L19"/>
    <mergeCell ref="A1:C1"/>
    <mergeCell ref="A3:U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1A64-7C06-4539-A27E-D0431E9B8702}">
  <dimension ref="A1:W25"/>
  <sheetViews>
    <sheetView tabSelected="1" workbookViewId="0">
      <selection activeCell="O12" sqref="O12"/>
    </sheetView>
  </sheetViews>
  <sheetFormatPr defaultRowHeight="14.4" x14ac:dyDescent="0.3"/>
  <cols>
    <col min="5" max="5" width="10.77734375" bestFit="1" customWidth="1"/>
  </cols>
  <sheetData>
    <row r="1" spans="1:21" x14ac:dyDescent="0.3">
      <c r="A1" s="31" t="s">
        <v>367</v>
      </c>
      <c r="B1" s="31"/>
      <c r="C1" s="31"/>
    </row>
    <row r="3" spans="1:21" x14ac:dyDescent="0.3">
      <c r="A3" s="48" t="s">
        <v>368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21" x14ac:dyDescent="0.3">
      <c r="A4" s="48"/>
      <c r="B4" s="48" t="s">
        <v>369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6" spans="1:21" x14ac:dyDescent="0.3">
      <c r="A6" t="s">
        <v>298</v>
      </c>
      <c r="B6">
        <v>100</v>
      </c>
      <c r="E6" s="2" t="s">
        <v>340</v>
      </c>
      <c r="F6" s="54" t="s">
        <v>375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</row>
    <row r="7" spans="1:21" x14ac:dyDescent="0.3">
      <c r="A7" t="s">
        <v>374</v>
      </c>
      <c r="B7">
        <v>1.96</v>
      </c>
      <c r="F7" s="54" t="s">
        <v>376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</row>
    <row r="8" spans="1:21" x14ac:dyDescent="0.3">
      <c r="A8" t="s">
        <v>370</v>
      </c>
      <c r="B8">
        <v>170</v>
      </c>
    </row>
    <row r="9" spans="1:21" x14ac:dyDescent="0.3">
      <c r="A9" t="s">
        <v>371</v>
      </c>
      <c r="B9">
        <v>8</v>
      </c>
    </row>
    <row r="11" spans="1:21" x14ac:dyDescent="0.3">
      <c r="A11" s="3" t="s">
        <v>383</v>
      </c>
      <c r="B11" s="3" t="s">
        <v>373</v>
      </c>
      <c r="C11" s="3">
        <f>170 - 1.96 * (8 /SQRT(64))</f>
        <v>168.04</v>
      </c>
      <c r="E11" s="34" t="s">
        <v>377</v>
      </c>
      <c r="F11" s="34"/>
      <c r="G11" s="34"/>
      <c r="H11" s="34"/>
      <c r="I11" s="34"/>
      <c r="J11" s="34"/>
      <c r="K11" s="34"/>
      <c r="L11" s="34"/>
      <c r="M11" s="34"/>
      <c r="N11" s="34"/>
    </row>
    <row r="12" spans="1:21" x14ac:dyDescent="0.3">
      <c r="A12" s="2"/>
      <c r="B12" s="3" t="s">
        <v>372</v>
      </c>
      <c r="C12" s="47">
        <f>170 + 1.96*(8/SQRT(64))</f>
        <v>171.96</v>
      </c>
    </row>
    <row r="15" spans="1:21" x14ac:dyDescent="0.3">
      <c r="A15" s="52" t="s">
        <v>378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0"/>
    </row>
    <row r="16" spans="1:21" x14ac:dyDescent="0.3">
      <c r="A16" s="48" t="s">
        <v>379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51"/>
    </row>
    <row r="18" spans="1:23" x14ac:dyDescent="0.3">
      <c r="A18" t="s">
        <v>298</v>
      </c>
      <c r="B18">
        <v>500</v>
      </c>
      <c r="E18" s="53" t="s">
        <v>340</v>
      </c>
      <c r="F18" s="54" t="s">
        <v>384</v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</row>
    <row r="19" spans="1:23" x14ac:dyDescent="0.3">
      <c r="A19" t="s">
        <v>380</v>
      </c>
      <c r="B19">
        <v>1.645</v>
      </c>
      <c r="E19" s="49"/>
      <c r="F19" s="54" t="s">
        <v>385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49"/>
      <c r="S19" s="49"/>
      <c r="T19" s="49"/>
      <c r="U19" s="49"/>
      <c r="V19" s="49"/>
      <c r="W19" s="49"/>
    </row>
    <row r="20" spans="1:23" x14ac:dyDescent="0.3">
      <c r="A20" t="s">
        <v>381</v>
      </c>
      <c r="B20">
        <v>320</v>
      </c>
    </row>
    <row r="22" spans="1:23" x14ac:dyDescent="0.3">
      <c r="A22" t="s">
        <v>313</v>
      </c>
      <c r="B22">
        <f>320/500</f>
        <v>0.64</v>
      </c>
    </row>
    <row r="24" spans="1:23" x14ac:dyDescent="0.3">
      <c r="A24" s="3" t="s">
        <v>382</v>
      </c>
      <c r="B24" s="3" t="s">
        <v>373</v>
      </c>
      <c r="C24" s="3">
        <f xml:space="preserve"> B22 - B19 * SQRT(B22 * ( 1 - B22) / 500)</f>
        <v>0.6046880144993233</v>
      </c>
      <c r="E24" s="34" t="s">
        <v>386</v>
      </c>
      <c r="F24" s="34"/>
      <c r="G24" s="34"/>
      <c r="H24" s="34"/>
      <c r="I24" s="34"/>
      <c r="J24" s="34"/>
      <c r="K24" s="34"/>
      <c r="L24" s="34"/>
      <c r="M24" s="34"/>
      <c r="N24" s="34"/>
    </row>
    <row r="25" spans="1:23" x14ac:dyDescent="0.3">
      <c r="A25" s="3"/>
      <c r="B25" s="3" t="s">
        <v>372</v>
      </c>
      <c r="C25" s="3">
        <f>B22 + B19 * SQRT(B22 * ( 1 - B22) / 500)</f>
        <v>0.67531198550067673</v>
      </c>
    </row>
  </sheetData>
  <mergeCells count="6">
    <mergeCell ref="F19:Q19"/>
    <mergeCell ref="E24:N24"/>
    <mergeCell ref="F6:U6"/>
    <mergeCell ref="F7:R7"/>
    <mergeCell ref="E11:N11"/>
    <mergeCell ref="F18:W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Measure of Central Tendency</vt:lpstr>
      <vt:lpstr> Measure of Skewness and Kurtos</vt:lpstr>
      <vt:lpstr>Percentile and Quartiles</vt:lpstr>
      <vt:lpstr> Correlation and Covariance</vt:lpstr>
      <vt:lpstr> discrete and continuous random</vt:lpstr>
      <vt:lpstr>Continuous Random Variable</vt:lpstr>
      <vt:lpstr>Discrete Distribution </vt:lpstr>
      <vt:lpstr>Continuous Distribution  </vt:lpstr>
      <vt:lpstr>Confidence Interval 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 Lad</dc:creator>
  <cp:lastModifiedBy>Monali Lad</cp:lastModifiedBy>
  <dcterms:created xsi:type="dcterms:W3CDTF">2026-03-10T06:15:59Z</dcterms:created>
  <dcterms:modified xsi:type="dcterms:W3CDTF">2026-03-31T14:48:45Z</dcterms:modified>
</cp:coreProperties>
</file>